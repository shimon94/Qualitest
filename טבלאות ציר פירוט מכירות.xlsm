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/>
  <workbookPr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C:\Users\hassa\Desktop\מתקדם גון ברייס\"/>
    </mc:Choice>
  </mc:AlternateContent>
  <xr:revisionPtr revIDLastSave="0" documentId="8_{4C5C7B1F-78CD-481B-852C-5C8B483B31A7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Sheet1" sheetId="2" r:id="rId1"/>
    <sheet name="מכירות" sheetId="1" r:id="rId2"/>
  </sheets>
  <calcPr calcId="191029"/>
  <pivotCaches>
    <pivotCache cacheId="15" r:id="rId3"/>
  </pivotCaches>
</workbook>
</file>

<file path=xl/calcChain.xml><?xml version="1.0" encoding="utf-8"?>
<calcChain xmlns="http://schemas.openxmlformats.org/spreadsheetml/2006/main">
  <c r="H277" i="1" l="1"/>
  <c r="H278" i="1"/>
  <c r="H281" i="1"/>
  <c r="H282" i="1"/>
  <c r="H285" i="1"/>
  <c r="H286" i="1"/>
  <c r="H289" i="1"/>
  <c r="H290" i="1"/>
  <c r="H293" i="1"/>
  <c r="H294" i="1"/>
  <c r="H297" i="1"/>
  <c r="H298" i="1"/>
  <c r="H301" i="1"/>
  <c r="H302" i="1"/>
  <c r="G275" i="1"/>
  <c r="H275" i="1" s="1"/>
  <c r="G276" i="1"/>
  <c r="H276" i="1" s="1"/>
  <c r="G277" i="1"/>
  <c r="G278" i="1"/>
  <c r="G279" i="1"/>
  <c r="H279" i="1" s="1"/>
  <c r="G280" i="1"/>
  <c r="H280" i="1" s="1"/>
  <c r="G281" i="1"/>
  <c r="G282" i="1"/>
  <c r="G283" i="1"/>
  <c r="H283" i="1" s="1"/>
  <c r="G284" i="1"/>
  <c r="H284" i="1" s="1"/>
  <c r="G285" i="1"/>
  <c r="G286" i="1"/>
  <c r="G287" i="1"/>
  <c r="H287" i="1" s="1"/>
  <c r="G288" i="1"/>
  <c r="H288" i="1" s="1"/>
  <c r="G289" i="1"/>
  <c r="G290" i="1"/>
  <c r="G291" i="1"/>
  <c r="H291" i="1" s="1"/>
  <c r="G292" i="1"/>
  <c r="H292" i="1" s="1"/>
  <c r="G293" i="1"/>
  <c r="G294" i="1"/>
  <c r="G295" i="1"/>
  <c r="H295" i="1" s="1"/>
  <c r="G296" i="1"/>
  <c r="H296" i="1" s="1"/>
  <c r="G297" i="1"/>
  <c r="G298" i="1"/>
  <c r="G299" i="1"/>
  <c r="H299" i="1" s="1"/>
  <c r="G300" i="1"/>
  <c r="H300" i="1" s="1"/>
  <c r="G301" i="1"/>
  <c r="G302" i="1"/>
  <c r="G303" i="1"/>
  <c r="H303" i="1" s="1"/>
  <c r="G304" i="1"/>
  <c r="H304" i="1" s="1"/>
  <c r="G274" i="1"/>
  <c r="H274" i="1" s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H49" i="1"/>
  <c r="H50" i="1"/>
  <c r="H51" i="1"/>
  <c r="H53" i="1"/>
  <c r="H54" i="1"/>
  <c r="H55" i="1"/>
  <c r="H57" i="1"/>
  <c r="H58" i="1"/>
  <c r="H59" i="1"/>
  <c r="H61" i="1"/>
  <c r="H62" i="1"/>
  <c r="G48" i="1"/>
  <c r="H48" i="1" s="1"/>
  <c r="G49" i="1"/>
  <c r="G50" i="1"/>
  <c r="G51" i="1"/>
  <c r="G52" i="1"/>
  <c r="H52" i="1" s="1"/>
  <c r="G53" i="1"/>
  <c r="G54" i="1"/>
  <c r="G55" i="1"/>
  <c r="G56" i="1"/>
  <c r="H56" i="1" s="1"/>
  <c r="G57" i="1"/>
  <c r="G58" i="1"/>
  <c r="G59" i="1"/>
  <c r="G60" i="1"/>
  <c r="H60" i="1" s="1"/>
  <c r="G61" i="1"/>
  <c r="G62" i="1"/>
  <c r="G47" i="1"/>
  <c r="H47" i="1" s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2" i="1"/>
  <c r="H15" i="1"/>
  <c r="H16" i="1"/>
  <c r="G15" i="1"/>
  <c r="G16" i="1"/>
  <c r="G17" i="1"/>
  <c r="H17" i="1" s="1"/>
  <c r="G14" i="1"/>
  <c r="H14" i="1" s="1"/>
  <c r="H3" i="1"/>
  <c r="H4" i="1"/>
  <c r="H5" i="1"/>
  <c r="H7" i="1"/>
  <c r="H8" i="1"/>
  <c r="H9" i="1"/>
  <c r="H11" i="1"/>
  <c r="H12" i="1"/>
  <c r="H13" i="1"/>
  <c r="H19" i="1"/>
  <c r="H20" i="1"/>
  <c r="H21" i="1"/>
  <c r="H23" i="1"/>
  <c r="H24" i="1"/>
  <c r="H25" i="1"/>
  <c r="H27" i="1"/>
  <c r="H28" i="1"/>
  <c r="H29" i="1"/>
  <c r="H31" i="1"/>
  <c r="H32" i="1"/>
  <c r="H33" i="1"/>
  <c r="H35" i="1"/>
  <c r="H36" i="1"/>
  <c r="H37" i="1"/>
  <c r="H39" i="1"/>
  <c r="H40" i="1"/>
  <c r="H41" i="1"/>
  <c r="H43" i="1"/>
  <c r="H44" i="1"/>
  <c r="H45" i="1"/>
  <c r="H63" i="1"/>
  <c r="H64" i="1"/>
  <c r="H65" i="1"/>
  <c r="H67" i="1"/>
  <c r="H68" i="1"/>
  <c r="H69" i="1"/>
  <c r="H71" i="1"/>
  <c r="H72" i="1"/>
  <c r="H73" i="1"/>
  <c r="H75" i="1"/>
  <c r="H76" i="1"/>
  <c r="H77" i="1"/>
  <c r="H79" i="1"/>
  <c r="H80" i="1"/>
  <c r="H81" i="1"/>
  <c r="H83" i="1"/>
  <c r="H84" i="1"/>
  <c r="H85" i="1"/>
  <c r="H87" i="1"/>
  <c r="H88" i="1"/>
  <c r="H89" i="1"/>
  <c r="H91" i="1"/>
  <c r="H92" i="1"/>
  <c r="H93" i="1"/>
  <c r="H95" i="1"/>
  <c r="H96" i="1"/>
  <c r="H97" i="1"/>
  <c r="H99" i="1"/>
  <c r="H100" i="1"/>
  <c r="H101" i="1"/>
  <c r="H103" i="1"/>
  <c r="H104" i="1"/>
  <c r="H105" i="1"/>
  <c r="H107" i="1"/>
  <c r="H108" i="1"/>
  <c r="H109" i="1"/>
  <c r="H111" i="1"/>
  <c r="H112" i="1"/>
  <c r="H113" i="1"/>
  <c r="H115" i="1"/>
  <c r="H116" i="1"/>
  <c r="H117" i="1"/>
  <c r="H119" i="1"/>
  <c r="H120" i="1"/>
  <c r="H121" i="1"/>
  <c r="H123" i="1"/>
  <c r="H124" i="1"/>
  <c r="H125" i="1"/>
  <c r="H127" i="1"/>
  <c r="H128" i="1"/>
  <c r="H129" i="1"/>
  <c r="H131" i="1"/>
  <c r="H132" i="1"/>
  <c r="H133" i="1"/>
  <c r="H135" i="1"/>
  <c r="H136" i="1"/>
  <c r="H137" i="1"/>
  <c r="H139" i="1"/>
  <c r="H140" i="1"/>
  <c r="H141" i="1"/>
  <c r="H143" i="1"/>
  <c r="H144" i="1"/>
  <c r="H145" i="1"/>
  <c r="H147" i="1"/>
  <c r="H148" i="1"/>
  <c r="H149" i="1"/>
  <c r="H151" i="1"/>
  <c r="H152" i="1"/>
  <c r="H153" i="1"/>
  <c r="H155" i="1"/>
  <c r="H156" i="1"/>
  <c r="H157" i="1"/>
  <c r="H159" i="1"/>
  <c r="H160" i="1"/>
  <c r="H161" i="1"/>
  <c r="H163" i="1"/>
  <c r="H164" i="1"/>
  <c r="H165" i="1"/>
  <c r="H167" i="1"/>
  <c r="H168" i="1"/>
  <c r="H169" i="1"/>
  <c r="H171" i="1"/>
  <c r="H172" i="1"/>
  <c r="H173" i="1"/>
  <c r="H175" i="1"/>
  <c r="H176" i="1"/>
  <c r="H177" i="1"/>
  <c r="H179" i="1"/>
  <c r="H180" i="1"/>
  <c r="H181" i="1"/>
  <c r="H183" i="1"/>
  <c r="H184" i="1"/>
  <c r="H185" i="1"/>
  <c r="H187" i="1"/>
  <c r="H188" i="1"/>
  <c r="H189" i="1"/>
  <c r="H191" i="1"/>
  <c r="H192" i="1"/>
  <c r="H193" i="1"/>
  <c r="H195" i="1"/>
  <c r="H196" i="1"/>
  <c r="H197" i="1"/>
  <c r="H199" i="1"/>
  <c r="H200" i="1"/>
  <c r="H201" i="1"/>
  <c r="H203" i="1"/>
  <c r="H204" i="1"/>
  <c r="H205" i="1"/>
  <c r="H207" i="1"/>
  <c r="H208" i="1"/>
  <c r="H209" i="1"/>
  <c r="H211" i="1"/>
  <c r="H212" i="1"/>
  <c r="H213" i="1"/>
  <c r="H215" i="1"/>
  <c r="H216" i="1"/>
  <c r="H217" i="1"/>
  <c r="H219" i="1"/>
  <c r="H220" i="1"/>
  <c r="H221" i="1"/>
  <c r="H223" i="1"/>
  <c r="H224" i="1"/>
  <c r="H225" i="1"/>
  <c r="H227" i="1"/>
  <c r="H228" i="1"/>
  <c r="H229" i="1"/>
  <c r="H231" i="1"/>
  <c r="H232" i="1"/>
  <c r="H233" i="1"/>
  <c r="H235" i="1"/>
  <c r="H236" i="1"/>
  <c r="H237" i="1"/>
  <c r="H239" i="1"/>
  <c r="H240" i="1"/>
  <c r="H241" i="1"/>
  <c r="H243" i="1"/>
  <c r="H244" i="1"/>
  <c r="H245" i="1"/>
  <c r="H247" i="1"/>
  <c r="H248" i="1"/>
  <c r="H249" i="1"/>
  <c r="H251" i="1"/>
  <c r="H252" i="1"/>
  <c r="H253" i="1"/>
  <c r="H255" i="1"/>
  <c r="H256" i="1"/>
  <c r="H257" i="1"/>
  <c r="H259" i="1"/>
  <c r="H260" i="1"/>
  <c r="H261" i="1"/>
  <c r="H263" i="1"/>
  <c r="H264" i="1"/>
  <c r="H265" i="1"/>
  <c r="H267" i="1"/>
  <c r="H268" i="1"/>
  <c r="H269" i="1"/>
  <c r="H271" i="1"/>
  <c r="H272" i="1"/>
  <c r="H273" i="1"/>
  <c r="H306" i="1"/>
  <c r="H307" i="1"/>
  <c r="H308" i="1"/>
  <c r="H310" i="1"/>
  <c r="H311" i="1"/>
  <c r="H312" i="1"/>
  <c r="H314" i="1"/>
  <c r="H315" i="1"/>
  <c r="H316" i="1"/>
  <c r="H318" i="1"/>
  <c r="H319" i="1"/>
  <c r="G3" i="1"/>
  <c r="G4" i="1"/>
  <c r="G5" i="1"/>
  <c r="G6" i="1"/>
  <c r="H6" i="1" s="1"/>
  <c r="G7" i="1"/>
  <c r="G8" i="1"/>
  <c r="G9" i="1"/>
  <c r="G10" i="1"/>
  <c r="H10" i="1" s="1"/>
  <c r="G11" i="1"/>
  <c r="G12" i="1"/>
  <c r="G13" i="1"/>
  <c r="G18" i="1"/>
  <c r="H18" i="1" s="1"/>
  <c r="G19" i="1"/>
  <c r="G20" i="1"/>
  <c r="G21" i="1"/>
  <c r="G22" i="1"/>
  <c r="H22" i="1" s="1"/>
  <c r="G23" i="1"/>
  <c r="G24" i="1"/>
  <c r="G25" i="1"/>
  <c r="G26" i="1"/>
  <c r="H26" i="1" s="1"/>
  <c r="G27" i="1"/>
  <c r="G28" i="1"/>
  <c r="G29" i="1"/>
  <c r="G30" i="1"/>
  <c r="H30" i="1" s="1"/>
  <c r="G31" i="1"/>
  <c r="G32" i="1"/>
  <c r="G33" i="1"/>
  <c r="G34" i="1"/>
  <c r="H34" i="1" s="1"/>
  <c r="G35" i="1"/>
  <c r="G36" i="1"/>
  <c r="G37" i="1"/>
  <c r="G38" i="1"/>
  <c r="H38" i="1" s="1"/>
  <c r="G39" i="1"/>
  <c r="G40" i="1"/>
  <c r="G41" i="1"/>
  <c r="G42" i="1"/>
  <c r="H42" i="1" s="1"/>
  <c r="G43" i="1"/>
  <c r="G44" i="1"/>
  <c r="G45" i="1"/>
  <c r="G46" i="1"/>
  <c r="H46" i="1" s="1"/>
  <c r="G63" i="1"/>
  <c r="G64" i="1"/>
  <c r="G65" i="1"/>
  <c r="G66" i="1"/>
  <c r="H66" i="1" s="1"/>
  <c r="G67" i="1"/>
  <c r="G68" i="1"/>
  <c r="G69" i="1"/>
  <c r="G70" i="1"/>
  <c r="H70" i="1" s="1"/>
  <c r="G71" i="1"/>
  <c r="G72" i="1"/>
  <c r="G73" i="1"/>
  <c r="G74" i="1"/>
  <c r="H74" i="1" s="1"/>
  <c r="G75" i="1"/>
  <c r="G76" i="1"/>
  <c r="G77" i="1"/>
  <c r="G78" i="1"/>
  <c r="H78" i="1" s="1"/>
  <c r="G79" i="1"/>
  <c r="G80" i="1"/>
  <c r="G81" i="1"/>
  <c r="G82" i="1"/>
  <c r="H82" i="1" s="1"/>
  <c r="G83" i="1"/>
  <c r="G84" i="1"/>
  <c r="G85" i="1"/>
  <c r="G86" i="1"/>
  <c r="H86" i="1" s="1"/>
  <c r="G87" i="1"/>
  <c r="G88" i="1"/>
  <c r="G89" i="1"/>
  <c r="G90" i="1"/>
  <c r="H90" i="1" s="1"/>
  <c r="G91" i="1"/>
  <c r="G92" i="1"/>
  <c r="G93" i="1"/>
  <c r="G94" i="1"/>
  <c r="H94" i="1" s="1"/>
  <c r="G95" i="1"/>
  <c r="G96" i="1"/>
  <c r="G97" i="1"/>
  <c r="G98" i="1"/>
  <c r="H98" i="1" s="1"/>
  <c r="G99" i="1"/>
  <c r="G100" i="1"/>
  <c r="G101" i="1"/>
  <c r="G102" i="1"/>
  <c r="H102" i="1" s="1"/>
  <c r="G103" i="1"/>
  <c r="G104" i="1"/>
  <c r="G105" i="1"/>
  <c r="G106" i="1"/>
  <c r="H106" i="1" s="1"/>
  <c r="G107" i="1"/>
  <c r="G108" i="1"/>
  <c r="G109" i="1"/>
  <c r="G110" i="1"/>
  <c r="H110" i="1" s="1"/>
  <c r="G111" i="1"/>
  <c r="G112" i="1"/>
  <c r="G113" i="1"/>
  <c r="G114" i="1"/>
  <c r="H114" i="1" s="1"/>
  <c r="G115" i="1"/>
  <c r="G116" i="1"/>
  <c r="G117" i="1"/>
  <c r="G118" i="1"/>
  <c r="H118" i="1" s="1"/>
  <c r="G119" i="1"/>
  <c r="G120" i="1"/>
  <c r="G121" i="1"/>
  <c r="G122" i="1"/>
  <c r="H122" i="1" s="1"/>
  <c r="G123" i="1"/>
  <c r="G124" i="1"/>
  <c r="G125" i="1"/>
  <c r="G126" i="1"/>
  <c r="H126" i="1" s="1"/>
  <c r="G127" i="1"/>
  <c r="G128" i="1"/>
  <c r="G129" i="1"/>
  <c r="G130" i="1"/>
  <c r="H130" i="1" s="1"/>
  <c r="G131" i="1"/>
  <c r="G132" i="1"/>
  <c r="G133" i="1"/>
  <c r="G134" i="1"/>
  <c r="H134" i="1" s="1"/>
  <c r="G135" i="1"/>
  <c r="G136" i="1"/>
  <c r="G137" i="1"/>
  <c r="G138" i="1"/>
  <c r="H138" i="1" s="1"/>
  <c r="G139" i="1"/>
  <c r="G140" i="1"/>
  <c r="G141" i="1"/>
  <c r="G142" i="1"/>
  <c r="H142" i="1" s="1"/>
  <c r="G143" i="1"/>
  <c r="G144" i="1"/>
  <c r="G145" i="1"/>
  <c r="G146" i="1"/>
  <c r="H146" i="1" s="1"/>
  <c r="G147" i="1"/>
  <c r="G148" i="1"/>
  <c r="G149" i="1"/>
  <c r="G150" i="1"/>
  <c r="H150" i="1" s="1"/>
  <c r="G151" i="1"/>
  <c r="G152" i="1"/>
  <c r="G153" i="1"/>
  <c r="G154" i="1"/>
  <c r="H154" i="1" s="1"/>
  <c r="G155" i="1"/>
  <c r="G156" i="1"/>
  <c r="G157" i="1"/>
  <c r="G158" i="1"/>
  <c r="H158" i="1" s="1"/>
  <c r="G159" i="1"/>
  <c r="G160" i="1"/>
  <c r="G161" i="1"/>
  <c r="G162" i="1"/>
  <c r="H162" i="1" s="1"/>
  <c r="G163" i="1"/>
  <c r="G164" i="1"/>
  <c r="G165" i="1"/>
  <c r="G166" i="1"/>
  <c r="H166" i="1" s="1"/>
  <c r="G167" i="1"/>
  <c r="G168" i="1"/>
  <c r="G169" i="1"/>
  <c r="G170" i="1"/>
  <c r="H170" i="1" s="1"/>
  <c r="G171" i="1"/>
  <c r="G172" i="1"/>
  <c r="G173" i="1"/>
  <c r="G174" i="1"/>
  <c r="H174" i="1" s="1"/>
  <c r="G175" i="1"/>
  <c r="G176" i="1"/>
  <c r="G177" i="1"/>
  <c r="G178" i="1"/>
  <c r="H178" i="1" s="1"/>
  <c r="G179" i="1"/>
  <c r="G180" i="1"/>
  <c r="G181" i="1"/>
  <c r="G182" i="1"/>
  <c r="H182" i="1" s="1"/>
  <c r="G183" i="1"/>
  <c r="G184" i="1"/>
  <c r="G185" i="1"/>
  <c r="G186" i="1"/>
  <c r="H186" i="1" s="1"/>
  <c r="G187" i="1"/>
  <c r="G188" i="1"/>
  <c r="G189" i="1"/>
  <c r="G190" i="1"/>
  <c r="H190" i="1" s="1"/>
  <c r="G191" i="1"/>
  <c r="G192" i="1"/>
  <c r="G193" i="1"/>
  <c r="G194" i="1"/>
  <c r="H194" i="1" s="1"/>
  <c r="G195" i="1"/>
  <c r="G196" i="1"/>
  <c r="G197" i="1"/>
  <c r="G198" i="1"/>
  <c r="H198" i="1" s="1"/>
  <c r="G199" i="1"/>
  <c r="G200" i="1"/>
  <c r="G201" i="1"/>
  <c r="G202" i="1"/>
  <c r="H202" i="1" s="1"/>
  <c r="G203" i="1"/>
  <c r="G204" i="1"/>
  <c r="G205" i="1"/>
  <c r="G206" i="1"/>
  <c r="H206" i="1" s="1"/>
  <c r="G207" i="1"/>
  <c r="G208" i="1"/>
  <c r="G209" i="1"/>
  <c r="G210" i="1"/>
  <c r="H210" i="1" s="1"/>
  <c r="G211" i="1"/>
  <c r="G212" i="1"/>
  <c r="G213" i="1"/>
  <c r="G214" i="1"/>
  <c r="H214" i="1" s="1"/>
  <c r="G215" i="1"/>
  <c r="G216" i="1"/>
  <c r="G217" i="1"/>
  <c r="G218" i="1"/>
  <c r="H218" i="1" s="1"/>
  <c r="G219" i="1"/>
  <c r="G220" i="1"/>
  <c r="G221" i="1"/>
  <c r="G222" i="1"/>
  <c r="H222" i="1" s="1"/>
  <c r="G223" i="1"/>
  <c r="G224" i="1"/>
  <c r="G225" i="1"/>
  <c r="G226" i="1"/>
  <c r="H226" i="1" s="1"/>
  <c r="G227" i="1"/>
  <c r="G228" i="1"/>
  <c r="G229" i="1"/>
  <c r="G230" i="1"/>
  <c r="H230" i="1" s="1"/>
  <c r="G231" i="1"/>
  <c r="G232" i="1"/>
  <c r="G233" i="1"/>
  <c r="G234" i="1"/>
  <c r="H234" i="1" s="1"/>
  <c r="G235" i="1"/>
  <c r="G236" i="1"/>
  <c r="G237" i="1"/>
  <c r="G238" i="1"/>
  <c r="H238" i="1" s="1"/>
  <c r="G239" i="1"/>
  <c r="G240" i="1"/>
  <c r="G241" i="1"/>
  <c r="G242" i="1"/>
  <c r="H242" i="1" s="1"/>
  <c r="G243" i="1"/>
  <c r="G244" i="1"/>
  <c r="G245" i="1"/>
  <c r="G246" i="1"/>
  <c r="H246" i="1" s="1"/>
  <c r="G247" i="1"/>
  <c r="G248" i="1"/>
  <c r="G249" i="1"/>
  <c r="G250" i="1"/>
  <c r="H250" i="1" s="1"/>
  <c r="G251" i="1"/>
  <c r="G252" i="1"/>
  <c r="G253" i="1"/>
  <c r="G254" i="1"/>
  <c r="H254" i="1" s="1"/>
  <c r="G255" i="1"/>
  <c r="G256" i="1"/>
  <c r="G257" i="1"/>
  <c r="G258" i="1"/>
  <c r="H258" i="1" s="1"/>
  <c r="G259" i="1"/>
  <c r="G260" i="1"/>
  <c r="G261" i="1"/>
  <c r="G262" i="1"/>
  <c r="H262" i="1" s="1"/>
  <c r="G263" i="1"/>
  <c r="G264" i="1"/>
  <c r="G265" i="1"/>
  <c r="G266" i="1"/>
  <c r="H266" i="1" s="1"/>
  <c r="G267" i="1"/>
  <c r="G268" i="1"/>
  <c r="G269" i="1"/>
  <c r="G270" i="1"/>
  <c r="H270" i="1" s="1"/>
  <c r="G271" i="1"/>
  <c r="G272" i="1"/>
  <c r="G273" i="1"/>
  <c r="G305" i="1"/>
  <c r="H305" i="1" s="1"/>
  <c r="G306" i="1"/>
  <c r="G307" i="1"/>
  <c r="G308" i="1"/>
  <c r="G309" i="1"/>
  <c r="H309" i="1" s="1"/>
  <c r="G310" i="1"/>
  <c r="G311" i="1"/>
  <c r="G312" i="1"/>
  <c r="G313" i="1"/>
  <c r="H313" i="1" s="1"/>
  <c r="G314" i="1"/>
  <c r="G315" i="1"/>
  <c r="G316" i="1"/>
  <c r="G317" i="1"/>
  <c r="H317" i="1" s="1"/>
  <c r="G318" i="1"/>
  <c r="G319" i="1"/>
  <c r="G2" i="1"/>
  <c r="H2" i="1" s="1"/>
</calcChain>
</file>

<file path=xl/sharedStrings.xml><?xml version="1.0" encoding="utf-8"?>
<sst xmlns="http://schemas.openxmlformats.org/spreadsheetml/2006/main" count="993" uniqueCount="31">
  <si>
    <t>שם לקוח</t>
  </si>
  <si>
    <t>סכום מכירה</t>
  </si>
  <si>
    <t>יערות</t>
  </si>
  <si>
    <t>נשיקולה בע"מ</t>
  </si>
  <si>
    <t>ג.ג. אולפנים</t>
  </si>
  <si>
    <t>איש המכירות</t>
  </si>
  <si>
    <t>אבי</t>
  </si>
  <si>
    <t>טלי</t>
  </si>
  <si>
    <t>דני</t>
  </si>
  <si>
    <t>מוסכי המרכז</t>
  </si>
  <si>
    <t>המרכז למחשב</t>
  </si>
  <si>
    <t>המוביל בע"מ</t>
  </si>
  <si>
    <t>אזור</t>
  </si>
  <si>
    <t>דרום</t>
  </si>
  <si>
    <t>צפון</t>
  </si>
  <si>
    <t>א.ב.ג. הפקות</t>
  </si>
  <si>
    <t>המרכז לרהיטים</t>
  </si>
  <si>
    <t>ביטוחי הדרום</t>
  </si>
  <si>
    <t>הביטוח הבטוח</t>
  </si>
  <si>
    <t>הפתרון למחשב</t>
  </si>
  <si>
    <t>צבי הדרום</t>
  </si>
  <si>
    <t>הממתק</t>
  </si>
  <si>
    <t>רונית</t>
  </si>
  <si>
    <t>רווח</t>
  </si>
  <si>
    <t>הוצאות</t>
  </si>
  <si>
    <t>תאריך מכירה</t>
  </si>
  <si>
    <t>מועד לגבייה</t>
  </si>
  <si>
    <t>Row Labels</t>
  </si>
  <si>
    <t>Grand Total</t>
  </si>
  <si>
    <t>Sum of סכום מכירה</t>
  </si>
  <si>
    <t>Column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</si>
</sst>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  <charset val="177"/>
    </font>
    <font>
      <sz val="8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14" fontId="0" fillId="0" borderId="1" xfId="0" applyNumberFormat="1" applyBorder="1"/>
    <xf numFmtId="4" fontId="0" fillId="0" borderId="1" xfId="0" applyNumberFormat="1" applyBorder="1"/>
    <xf numFmtId="0" fontId="2" fillId="0" borderId="0" xfId="0" applyFont="1"/>
    <xf numFmtId="0" fontId="2" fillId="2" borderId="1" xfId="0" applyFont="1" applyFill="1" applyBorder="1"/>
    <xf numFmtId="14" fontId="0" fillId="0" borderId="1" xfId="0" applyNumberFormat="1" applyFill="1" applyBorder="1"/>
    <xf numFmtId="0" fontId="0" fillId="0" borderId="1" xfId="0" applyFill="1" applyBorder="1"/>
    <xf numFmtId="0" fontId="0" fillId="0" borderId="0" xfId="0" pivotButton="1"/>
    <xf numFmtId="0" fontId="0" fillId="0" borderId="0" xfId="0" applyAlignment="1">
      <alignment horizontal="right"/>
    </xf>
    <xf numFmtId="0" fontId="0" fillId="0" borderId="0" xfId="0" applyNumberFormat="1"/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אבי חסן" refreshedDate="44355.402516319446" createdVersion="7" refreshedVersion="7" minRefreshableVersion="3" recordCount="318" xr:uid="{D180E1CC-B568-44F0-8CA0-6F3D6D0613D4}">
  <cacheSource type="worksheet">
    <worksheetSource ref="A1:H319" sheet="מכירות"/>
  </cacheSource>
  <cacheFields count="8">
    <cacheField name="תאריך מכירה" numFmtId="14">
      <sharedItems containsSemiMixedTypes="0" containsNonDate="0" containsDate="1" containsString="0" minDate="2005-01-01T00:00:00" maxDate="2009-07-26T00:00:00"/>
    </cacheField>
    <cacheField name="אזור" numFmtId="14">
      <sharedItems count="2">
        <s v="דרום"/>
        <s v="צפון"/>
      </sharedItems>
    </cacheField>
    <cacheField name="שם לקוח" numFmtId="0">
      <sharedItems count="13">
        <s v="ג.ג. אולפנים"/>
        <s v="המרכז למחשב"/>
        <s v="צבי הדרום"/>
        <s v="הפתרון למחשב"/>
        <s v="נשיקולה בע&quot;מ"/>
        <s v="א.ב.ג. הפקות"/>
        <s v="ביטוחי הדרום"/>
        <s v="הממתק"/>
        <s v="המוביל בע&quot;מ"/>
        <s v="הביטוח הבטוח"/>
        <s v="מוסכי המרכז"/>
        <s v="המרכז לרהיטים"/>
        <s v="יערות"/>
      </sharedItems>
    </cacheField>
    <cacheField name="איש המכירות" numFmtId="0">
      <sharedItems count="4">
        <s v="אבי"/>
        <s v="דני"/>
        <s v="טלי"/>
        <s v="רונית"/>
      </sharedItems>
    </cacheField>
    <cacheField name="מועד לגבייה" numFmtId="14">
      <sharedItems containsSemiMixedTypes="0" containsNonDate="0" containsDate="1" containsString="0" minDate="2005-05-01T00:00:00" maxDate="2009-11-02T00:00:00"/>
    </cacheField>
    <cacheField name="סכום מכירה" numFmtId="4">
      <sharedItems containsSemiMixedTypes="0" containsString="0" containsNumber="1" containsInteger="1" minValue="123" maxValue="5925"/>
    </cacheField>
    <cacheField name="רווח" numFmtId="0">
      <sharedItems containsSemiMixedTypes="0" containsString="0" containsNumber="1" minValue="98.4" maxValue="4740"/>
    </cacheField>
    <cacheField name="הוצאות" numFmtId="4">
      <sharedItems containsSemiMixedTypes="0" containsString="0" containsNumber="1" minValue="24.599999999999994" maxValue="118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8">
  <r>
    <d v="2005-01-01T00:00:00"/>
    <x v="0"/>
    <x v="0"/>
    <x v="0"/>
    <d v="2005-05-01T00:00:00"/>
    <n v="123"/>
    <n v="98.4"/>
    <n v="24.599999999999994"/>
  </r>
  <r>
    <d v="2005-01-02T00:00:00"/>
    <x v="1"/>
    <x v="1"/>
    <x v="1"/>
    <d v="2005-05-01T00:00:00"/>
    <n v="647"/>
    <n v="517.6"/>
    <n v="129.39999999999998"/>
  </r>
  <r>
    <d v="2005-01-04T00:00:00"/>
    <x v="0"/>
    <x v="0"/>
    <x v="0"/>
    <d v="2005-05-01T00:00:00"/>
    <n v="2305"/>
    <n v="1844"/>
    <n v="461"/>
  </r>
  <r>
    <d v="2005-01-10T00:00:00"/>
    <x v="1"/>
    <x v="0"/>
    <x v="0"/>
    <d v="2005-05-01T00:00:00"/>
    <n v="133"/>
    <n v="106.4"/>
    <n v="26.599999999999994"/>
  </r>
  <r>
    <d v="2005-01-11T00:00:00"/>
    <x v="0"/>
    <x v="1"/>
    <x v="1"/>
    <d v="2005-05-01T00:00:00"/>
    <n v="649"/>
    <n v="519.20000000000005"/>
    <n v="129.79999999999995"/>
  </r>
  <r>
    <d v="2005-01-15T00:00:00"/>
    <x v="1"/>
    <x v="2"/>
    <x v="0"/>
    <d v="2005-05-01T00:00:00"/>
    <n v="2305"/>
    <n v="1844"/>
    <n v="461"/>
  </r>
  <r>
    <d v="2005-01-19T00:00:00"/>
    <x v="0"/>
    <x v="0"/>
    <x v="0"/>
    <d v="2005-05-01T00:00:00"/>
    <n v="143"/>
    <n v="114.4"/>
    <n v="28.599999999999994"/>
  </r>
  <r>
    <d v="2005-01-20T00:00:00"/>
    <x v="1"/>
    <x v="1"/>
    <x v="1"/>
    <d v="2005-05-01T00:00:00"/>
    <n v="651"/>
    <n v="520.80000000000007"/>
    <n v="130.19999999999993"/>
  </r>
  <r>
    <d v="2005-01-26T00:00:00"/>
    <x v="0"/>
    <x v="0"/>
    <x v="2"/>
    <d v="2005-05-01T00:00:00"/>
    <n v="2309"/>
    <n v="1847.2"/>
    <n v="461.79999999999995"/>
  </r>
  <r>
    <d v="2005-01-28T00:00:00"/>
    <x v="1"/>
    <x v="0"/>
    <x v="0"/>
    <d v="2005-05-01T00:00:00"/>
    <n v="153"/>
    <n v="122.4"/>
    <n v="30.599999999999994"/>
  </r>
  <r>
    <d v="2005-01-29T00:00:00"/>
    <x v="0"/>
    <x v="1"/>
    <x v="3"/>
    <d v="2005-05-01T00:00:00"/>
    <n v="653"/>
    <n v="522.4"/>
    <n v="130.60000000000002"/>
  </r>
  <r>
    <d v="2005-02-06T00:00:00"/>
    <x v="1"/>
    <x v="0"/>
    <x v="1"/>
    <d v="2005-06-01T00:00:00"/>
    <n v="163"/>
    <n v="130.4"/>
    <n v="32.599999999999994"/>
  </r>
  <r>
    <d v="2005-02-14T00:00:00"/>
    <x v="1"/>
    <x v="3"/>
    <x v="2"/>
    <d v="2005-06-01T00:00:00"/>
    <n v="800"/>
    <n v="640"/>
    <n v="160"/>
  </r>
  <r>
    <d v="2005-02-22T00:00:00"/>
    <x v="1"/>
    <x v="3"/>
    <x v="0"/>
    <d v="2005-06-01T00:00:00"/>
    <n v="1437"/>
    <n v="1149.6000000000001"/>
    <n v="287.39999999999986"/>
  </r>
  <r>
    <d v="2005-03-02T00:00:00"/>
    <x v="1"/>
    <x v="3"/>
    <x v="3"/>
    <d v="2005-07-01T00:00:00"/>
    <n v="2074"/>
    <n v="1659.2"/>
    <n v="414.79999999999995"/>
  </r>
  <r>
    <d v="2005-03-10T00:00:00"/>
    <x v="1"/>
    <x v="3"/>
    <x v="1"/>
    <d v="2005-07-01T00:00:00"/>
    <n v="2711"/>
    <n v="2168.8000000000002"/>
    <n v="542.19999999999982"/>
  </r>
  <r>
    <d v="2005-02-06T00:00:00"/>
    <x v="0"/>
    <x v="3"/>
    <x v="2"/>
    <d v="2005-06-01T00:00:00"/>
    <n v="2361"/>
    <n v="1888.8000000000002"/>
    <n v="472.19999999999982"/>
  </r>
  <r>
    <d v="2005-02-07T00:00:00"/>
    <x v="1"/>
    <x v="1"/>
    <x v="0"/>
    <d v="2005-06-01T00:00:00"/>
    <n v="655"/>
    <n v="524"/>
    <n v="131"/>
  </r>
  <r>
    <d v="2005-02-15T00:00:00"/>
    <x v="0"/>
    <x v="0"/>
    <x v="3"/>
    <d v="2005-06-01T00:00:00"/>
    <n v="466"/>
    <n v="372.8"/>
    <n v="93.199999999999989"/>
  </r>
  <r>
    <d v="2005-02-16T00:00:00"/>
    <x v="1"/>
    <x v="1"/>
    <x v="1"/>
    <d v="2005-06-01T00:00:00"/>
    <n v="657"/>
    <n v="525.6"/>
    <n v="131.39999999999998"/>
  </r>
  <r>
    <d v="2005-02-17T00:00:00"/>
    <x v="0"/>
    <x v="2"/>
    <x v="2"/>
    <d v="2005-06-01T00:00:00"/>
    <n v="2361"/>
    <n v="1888.8000000000002"/>
    <n v="472.19999999999982"/>
  </r>
  <r>
    <d v="2005-02-24T00:00:00"/>
    <x v="1"/>
    <x v="2"/>
    <x v="0"/>
    <d v="2005-06-01T00:00:00"/>
    <n v="466"/>
    <n v="372.8"/>
    <n v="93.199999999999989"/>
  </r>
  <r>
    <d v="2005-02-25T00:00:00"/>
    <x v="0"/>
    <x v="1"/>
    <x v="3"/>
    <d v="2005-06-01T00:00:00"/>
    <n v="659"/>
    <n v="527.20000000000005"/>
    <n v="131.79999999999995"/>
  </r>
  <r>
    <d v="2005-02-28T00:00:00"/>
    <x v="1"/>
    <x v="2"/>
    <x v="1"/>
    <d v="2005-06-01T00:00:00"/>
    <n v="2417"/>
    <n v="1933.6000000000001"/>
    <n v="483.39999999999986"/>
  </r>
  <r>
    <d v="2005-03-04T00:00:00"/>
    <x v="0"/>
    <x v="3"/>
    <x v="2"/>
    <d v="2005-07-01T00:00:00"/>
    <n v="556"/>
    <n v="444.8"/>
    <n v="111.19999999999999"/>
  </r>
  <r>
    <d v="2005-03-05T00:00:00"/>
    <x v="1"/>
    <x v="1"/>
    <x v="0"/>
    <d v="2005-07-01T00:00:00"/>
    <n v="661"/>
    <n v="528.80000000000007"/>
    <n v="132.19999999999993"/>
  </r>
  <r>
    <d v="2005-03-10T00:00:00"/>
    <x v="0"/>
    <x v="2"/>
    <x v="3"/>
    <d v="2005-07-01T00:00:00"/>
    <n v="2417"/>
    <n v="1933.6000000000001"/>
    <n v="483.39999999999986"/>
  </r>
  <r>
    <d v="2005-03-13T00:00:00"/>
    <x v="1"/>
    <x v="2"/>
    <x v="1"/>
    <d v="2005-07-01T00:00:00"/>
    <n v="556"/>
    <n v="444.8"/>
    <n v="111.19999999999999"/>
  </r>
  <r>
    <d v="2005-03-14T00:00:00"/>
    <x v="0"/>
    <x v="1"/>
    <x v="2"/>
    <d v="2005-07-01T00:00:00"/>
    <n v="663"/>
    <n v="530.4"/>
    <n v="132.60000000000002"/>
  </r>
  <r>
    <d v="2005-03-21T00:00:00"/>
    <x v="1"/>
    <x v="0"/>
    <x v="0"/>
    <d v="2005-07-01T00:00:00"/>
    <n v="2466"/>
    <n v="1972.8000000000002"/>
    <n v="493.19999999999982"/>
  </r>
  <r>
    <d v="2005-03-22T00:00:00"/>
    <x v="0"/>
    <x v="4"/>
    <x v="3"/>
    <d v="2005-07-01T00:00:00"/>
    <n v="561"/>
    <n v="448.8"/>
    <n v="112.19999999999999"/>
  </r>
  <r>
    <d v="2005-03-23T00:00:00"/>
    <x v="1"/>
    <x v="1"/>
    <x v="1"/>
    <d v="2005-07-01T00:00:00"/>
    <n v="665"/>
    <n v="532"/>
    <n v="133"/>
  </r>
  <r>
    <d v="2005-03-31T00:00:00"/>
    <x v="0"/>
    <x v="4"/>
    <x v="2"/>
    <d v="2005-07-01T00:00:00"/>
    <n v="561"/>
    <n v="448.8"/>
    <n v="112.19999999999999"/>
  </r>
  <r>
    <d v="2005-04-01T00:00:00"/>
    <x v="1"/>
    <x v="1"/>
    <x v="0"/>
    <d v="2005-08-01T00:00:00"/>
    <n v="667"/>
    <n v="533.6"/>
    <n v="133.39999999999998"/>
  </r>
  <r>
    <d v="2005-04-01T00:00:00"/>
    <x v="0"/>
    <x v="3"/>
    <x v="3"/>
    <d v="2005-08-01T00:00:00"/>
    <n v="2473"/>
    <n v="1978.4"/>
    <n v="494.59999999999991"/>
  </r>
  <r>
    <d v="2005-04-09T00:00:00"/>
    <x v="1"/>
    <x v="4"/>
    <x v="1"/>
    <d v="2005-08-01T00:00:00"/>
    <n v="563"/>
    <n v="450.40000000000003"/>
    <n v="112.59999999999997"/>
  </r>
  <r>
    <d v="2005-04-10T00:00:00"/>
    <x v="0"/>
    <x v="1"/>
    <x v="2"/>
    <d v="2005-08-01T00:00:00"/>
    <n v="669"/>
    <n v="535.20000000000005"/>
    <n v="133.79999999999995"/>
  </r>
  <r>
    <d v="2005-04-12T00:00:00"/>
    <x v="1"/>
    <x v="2"/>
    <x v="0"/>
    <d v="2005-08-01T00:00:00"/>
    <n v="2473"/>
    <n v="1978.4"/>
    <n v="494.59999999999991"/>
  </r>
  <r>
    <d v="2005-04-18T00:00:00"/>
    <x v="0"/>
    <x v="4"/>
    <x v="3"/>
    <d v="2005-08-01T00:00:00"/>
    <n v="563"/>
    <n v="450.40000000000003"/>
    <n v="112.59999999999997"/>
  </r>
  <r>
    <d v="2005-04-19T00:00:00"/>
    <x v="1"/>
    <x v="1"/>
    <x v="1"/>
    <d v="2005-08-01T00:00:00"/>
    <n v="671"/>
    <n v="536.80000000000007"/>
    <n v="134.19999999999993"/>
  </r>
  <r>
    <d v="2005-04-23T00:00:00"/>
    <x v="0"/>
    <x v="3"/>
    <x v="2"/>
    <d v="2005-08-01T00:00:00"/>
    <n v="2529"/>
    <n v="2023.2"/>
    <n v="505.79999999999995"/>
  </r>
  <r>
    <d v="2005-04-27T00:00:00"/>
    <x v="1"/>
    <x v="0"/>
    <x v="0"/>
    <d v="2005-08-01T00:00:00"/>
    <n v="565"/>
    <n v="452"/>
    <n v="113"/>
  </r>
  <r>
    <d v="2005-04-28T00:00:00"/>
    <x v="0"/>
    <x v="1"/>
    <x v="3"/>
    <d v="2005-08-01T00:00:00"/>
    <n v="673"/>
    <n v="538.4"/>
    <n v="134.60000000000002"/>
  </r>
  <r>
    <d v="2005-05-04T00:00:00"/>
    <x v="1"/>
    <x v="2"/>
    <x v="1"/>
    <d v="2005-09-01T00:00:00"/>
    <n v="2529"/>
    <n v="2023.2"/>
    <n v="505.79999999999995"/>
  </r>
  <r>
    <d v="2005-05-06T00:00:00"/>
    <x v="0"/>
    <x v="2"/>
    <x v="2"/>
    <d v="2005-09-01T00:00:00"/>
    <n v="565"/>
    <n v="452"/>
    <n v="113"/>
  </r>
  <r>
    <d v="2005-05-08T00:00:00"/>
    <x v="1"/>
    <x v="1"/>
    <x v="1"/>
    <d v="2005-09-01T00:00:00"/>
    <n v="900"/>
    <n v="720"/>
    <n v="180"/>
  </r>
  <r>
    <d v="2005-05-10T00:00:00"/>
    <x v="0"/>
    <x v="2"/>
    <x v="2"/>
    <d v="2005-09-01T00:00:00"/>
    <n v="1235"/>
    <n v="988"/>
    <n v="247"/>
  </r>
  <r>
    <d v="2005-05-12T00:00:00"/>
    <x v="1"/>
    <x v="4"/>
    <x v="0"/>
    <d v="2005-09-01T00:00:00"/>
    <n v="1570"/>
    <n v="1256"/>
    <n v="314"/>
  </r>
  <r>
    <d v="2005-05-14T00:00:00"/>
    <x v="0"/>
    <x v="5"/>
    <x v="3"/>
    <d v="2005-09-01T00:00:00"/>
    <n v="1905"/>
    <n v="1524"/>
    <n v="381"/>
  </r>
  <r>
    <d v="2005-05-16T00:00:00"/>
    <x v="1"/>
    <x v="3"/>
    <x v="1"/>
    <d v="2005-09-01T00:00:00"/>
    <n v="2240"/>
    <n v="1792"/>
    <n v="448"/>
  </r>
  <r>
    <d v="2005-05-18T00:00:00"/>
    <x v="0"/>
    <x v="0"/>
    <x v="2"/>
    <d v="2005-09-01T00:00:00"/>
    <n v="2575"/>
    <n v="2060"/>
    <n v="515"/>
  </r>
  <r>
    <d v="2005-05-20T00:00:00"/>
    <x v="1"/>
    <x v="1"/>
    <x v="1"/>
    <d v="2005-09-01T00:00:00"/>
    <n v="2910"/>
    <n v="2328"/>
    <n v="582"/>
  </r>
  <r>
    <d v="2005-05-22T00:00:00"/>
    <x v="0"/>
    <x v="6"/>
    <x v="2"/>
    <d v="2005-09-01T00:00:00"/>
    <n v="3245"/>
    <n v="2596"/>
    <n v="649"/>
  </r>
  <r>
    <d v="2005-05-24T00:00:00"/>
    <x v="1"/>
    <x v="2"/>
    <x v="0"/>
    <d v="2005-09-01T00:00:00"/>
    <n v="3580"/>
    <n v="2864"/>
    <n v="716"/>
  </r>
  <r>
    <d v="2005-05-26T00:00:00"/>
    <x v="0"/>
    <x v="1"/>
    <x v="3"/>
    <d v="2005-09-01T00:00:00"/>
    <n v="3915"/>
    <n v="3132"/>
    <n v="783"/>
  </r>
  <r>
    <d v="2005-05-28T00:00:00"/>
    <x v="1"/>
    <x v="2"/>
    <x v="1"/>
    <d v="2005-09-01T00:00:00"/>
    <n v="4250"/>
    <n v="3400"/>
    <n v="850"/>
  </r>
  <r>
    <d v="2005-05-30T00:00:00"/>
    <x v="0"/>
    <x v="4"/>
    <x v="2"/>
    <d v="2005-09-01T00:00:00"/>
    <n v="4585"/>
    <n v="3668"/>
    <n v="917"/>
  </r>
  <r>
    <d v="2005-06-01T00:00:00"/>
    <x v="1"/>
    <x v="1"/>
    <x v="1"/>
    <d v="2005-10-01T00:00:00"/>
    <n v="4920"/>
    <n v="3936"/>
    <n v="984"/>
  </r>
  <r>
    <d v="2005-06-03T00:00:00"/>
    <x v="0"/>
    <x v="3"/>
    <x v="2"/>
    <d v="2005-10-01T00:00:00"/>
    <n v="5255"/>
    <n v="4204"/>
    <n v="1051"/>
  </r>
  <r>
    <d v="2005-06-05T00:00:00"/>
    <x v="1"/>
    <x v="0"/>
    <x v="0"/>
    <d v="2005-10-01T00:00:00"/>
    <n v="5590"/>
    <n v="4472"/>
    <n v="1118"/>
  </r>
  <r>
    <d v="2005-06-07T00:00:00"/>
    <x v="0"/>
    <x v="1"/>
    <x v="3"/>
    <d v="2005-10-01T00:00:00"/>
    <n v="5925"/>
    <n v="4740"/>
    <n v="1185"/>
  </r>
  <r>
    <d v="2005-05-07T00:00:00"/>
    <x v="1"/>
    <x v="1"/>
    <x v="0"/>
    <d v="2005-09-01T00:00:00"/>
    <n v="675"/>
    <n v="540"/>
    <n v="135"/>
  </r>
  <r>
    <d v="2005-05-15T00:00:00"/>
    <x v="0"/>
    <x v="0"/>
    <x v="3"/>
    <d v="2005-09-01T00:00:00"/>
    <n v="2624"/>
    <n v="2099.2000000000003"/>
    <n v="524.79999999999973"/>
  </r>
  <r>
    <d v="2005-05-15T00:00:00"/>
    <x v="1"/>
    <x v="4"/>
    <x v="1"/>
    <d v="2005-09-01T00:00:00"/>
    <n v="565"/>
    <n v="452"/>
    <n v="113"/>
  </r>
  <r>
    <d v="2005-05-16T00:00:00"/>
    <x v="0"/>
    <x v="0"/>
    <x v="2"/>
    <d v="2005-09-01T00:00:00"/>
    <n v="677"/>
    <n v="541.6"/>
    <n v="135.39999999999998"/>
  </r>
  <r>
    <d v="2005-05-24T00:00:00"/>
    <x v="1"/>
    <x v="4"/>
    <x v="0"/>
    <d v="2005-09-01T00:00:00"/>
    <n v="565"/>
    <n v="452"/>
    <n v="113"/>
  </r>
  <r>
    <d v="2005-05-25T00:00:00"/>
    <x v="0"/>
    <x v="2"/>
    <x v="3"/>
    <d v="2005-09-01T00:00:00"/>
    <n v="677"/>
    <n v="541.6"/>
    <n v="135.39999999999998"/>
  </r>
  <r>
    <d v="2005-05-26T00:00:00"/>
    <x v="1"/>
    <x v="0"/>
    <x v="1"/>
    <d v="2005-09-01T00:00:00"/>
    <n v="2781"/>
    <n v="2224.8000000000002"/>
    <n v="556.19999999999982"/>
  </r>
  <r>
    <d v="2005-06-02T00:00:00"/>
    <x v="0"/>
    <x v="4"/>
    <x v="2"/>
    <d v="2005-10-01T00:00:00"/>
    <n v="567"/>
    <n v="453.6"/>
    <n v="113.39999999999998"/>
  </r>
  <r>
    <d v="2005-06-03T00:00:00"/>
    <x v="1"/>
    <x v="0"/>
    <x v="0"/>
    <d v="2005-10-01T00:00:00"/>
    <n v="681"/>
    <n v="544.80000000000007"/>
    <n v="136.19999999999993"/>
  </r>
  <r>
    <d v="2005-06-06T00:00:00"/>
    <x v="0"/>
    <x v="0"/>
    <x v="3"/>
    <d v="2005-10-01T00:00:00"/>
    <n v="2939"/>
    <n v="2351.2000000000003"/>
    <n v="587.79999999999973"/>
  </r>
  <r>
    <d v="2005-06-11T00:00:00"/>
    <x v="1"/>
    <x v="7"/>
    <x v="1"/>
    <d v="2005-10-01T00:00:00"/>
    <n v="567"/>
    <n v="453.6"/>
    <n v="113.39999999999998"/>
  </r>
  <r>
    <d v="2005-06-12T00:00:00"/>
    <x v="0"/>
    <x v="2"/>
    <x v="2"/>
    <d v="2005-10-01T00:00:00"/>
    <n v="681"/>
    <n v="544.80000000000007"/>
    <n v="136.19999999999993"/>
  </r>
  <r>
    <d v="2005-06-20T00:00:00"/>
    <x v="1"/>
    <x v="4"/>
    <x v="0"/>
    <d v="2005-10-01T00:00:00"/>
    <n v="569"/>
    <n v="455.20000000000005"/>
    <n v="113.79999999999995"/>
  </r>
  <r>
    <d v="2005-06-21T00:00:00"/>
    <x v="0"/>
    <x v="0"/>
    <x v="3"/>
    <d v="2005-10-01T00:00:00"/>
    <n v="737"/>
    <n v="589.6"/>
    <n v="147.39999999999998"/>
  </r>
  <r>
    <d v="2005-06-29T00:00:00"/>
    <x v="1"/>
    <x v="7"/>
    <x v="1"/>
    <d v="2005-10-01T00:00:00"/>
    <n v="569"/>
    <n v="455.20000000000005"/>
    <n v="113.79999999999995"/>
  </r>
  <r>
    <d v="2005-06-30T00:00:00"/>
    <x v="0"/>
    <x v="2"/>
    <x v="2"/>
    <d v="2005-10-01T00:00:00"/>
    <n v="737"/>
    <n v="589.6"/>
    <n v="147.39999999999998"/>
  </r>
  <r>
    <d v="2005-07-08T00:00:00"/>
    <x v="1"/>
    <x v="4"/>
    <x v="0"/>
    <d v="2005-11-01T00:00:00"/>
    <n v="571"/>
    <n v="456.8"/>
    <n v="114.19999999999999"/>
  </r>
  <r>
    <d v="2005-07-09T00:00:00"/>
    <x v="0"/>
    <x v="3"/>
    <x v="3"/>
    <d v="2005-11-01T00:00:00"/>
    <n v="776"/>
    <n v="620.80000000000007"/>
    <n v="155.19999999999993"/>
  </r>
  <r>
    <d v="2005-07-17T00:00:00"/>
    <x v="1"/>
    <x v="7"/>
    <x v="1"/>
    <d v="2005-11-01T00:00:00"/>
    <n v="571"/>
    <n v="456.8"/>
    <n v="114.19999999999999"/>
  </r>
  <r>
    <d v="2005-07-18T00:00:00"/>
    <x v="0"/>
    <x v="0"/>
    <x v="2"/>
    <d v="2005-11-01T00:00:00"/>
    <n v="776"/>
    <n v="620.80000000000007"/>
    <n v="155.19999999999993"/>
  </r>
  <r>
    <d v="2005-07-26T00:00:00"/>
    <x v="1"/>
    <x v="4"/>
    <x v="0"/>
    <d v="2005-11-01T00:00:00"/>
    <n v="573"/>
    <n v="458.40000000000003"/>
    <n v="114.59999999999997"/>
  </r>
  <r>
    <d v="2005-07-27T00:00:00"/>
    <x v="0"/>
    <x v="3"/>
    <x v="3"/>
    <d v="2005-11-01T00:00:00"/>
    <n v="793"/>
    <n v="634.40000000000009"/>
    <n v="158.59999999999991"/>
  </r>
  <r>
    <d v="2005-08-04T00:00:00"/>
    <x v="1"/>
    <x v="7"/>
    <x v="1"/>
    <d v="2005-12-01T00:00:00"/>
    <n v="573"/>
    <n v="458.40000000000003"/>
    <n v="114.59999999999997"/>
  </r>
  <r>
    <d v="2005-08-05T00:00:00"/>
    <x v="0"/>
    <x v="2"/>
    <x v="2"/>
    <d v="2005-12-01T00:00:00"/>
    <n v="793"/>
    <n v="634.40000000000009"/>
    <n v="158.59999999999991"/>
  </r>
  <r>
    <d v="2005-08-13T00:00:00"/>
    <x v="1"/>
    <x v="4"/>
    <x v="0"/>
    <d v="2005-12-01T00:00:00"/>
    <n v="575"/>
    <n v="460"/>
    <n v="115"/>
  </r>
  <r>
    <d v="2005-08-14T00:00:00"/>
    <x v="0"/>
    <x v="3"/>
    <x v="3"/>
    <d v="2005-12-01T00:00:00"/>
    <n v="849"/>
    <n v="679.2"/>
    <n v="169.79999999999995"/>
  </r>
  <r>
    <d v="2005-08-22T00:00:00"/>
    <x v="1"/>
    <x v="7"/>
    <x v="1"/>
    <d v="2005-12-01T00:00:00"/>
    <n v="575"/>
    <n v="460"/>
    <n v="115"/>
  </r>
  <r>
    <d v="2005-08-23T00:00:00"/>
    <x v="0"/>
    <x v="2"/>
    <x v="2"/>
    <d v="2005-12-01T00:00:00"/>
    <n v="849"/>
    <n v="679.2"/>
    <n v="169.79999999999995"/>
  </r>
  <r>
    <d v="2005-08-31T00:00:00"/>
    <x v="1"/>
    <x v="4"/>
    <x v="0"/>
    <d v="2005-12-01T00:00:00"/>
    <n v="577"/>
    <n v="461.6"/>
    <n v="115.39999999999998"/>
  </r>
  <r>
    <d v="2005-09-01T00:00:00"/>
    <x v="0"/>
    <x v="3"/>
    <x v="3"/>
    <d v="2006-01-01T00:00:00"/>
    <n v="871"/>
    <n v="696.80000000000007"/>
    <n v="174.19999999999993"/>
  </r>
  <r>
    <d v="2005-09-09T00:00:00"/>
    <x v="1"/>
    <x v="7"/>
    <x v="1"/>
    <d v="2006-01-01T00:00:00"/>
    <n v="577"/>
    <n v="461.6"/>
    <n v="115.39999999999998"/>
  </r>
  <r>
    <d v="2005-09-10T00:00:00"/>
    <x v="0"/>
    <x v="0"/>
    <x v="2"/>
    <d v="2006-01-01T00:00:00"/>
    <n v="871"/>
    <n v="696.80000000000007"/>
    <n v="174.19999999999993"/>
  </r>
  <r>
    <d v="2005-09-18T00:00:00"/>
    <x v="1"/>
    <x v="4"/>
    <x v="0"/>
    <d v="2006-01-01T00:00:00"/>
    <n v="579"/>
    <n v="463.20000000000005"/>
    <n v="115.79999999999995"/>
  </r>
  <r>
    <d v="2005-09-19T00:00:00"/>
    <x v="0"/>
    <x v="3"/>
    <x v="3"/>
    <d v="2006-01-01T00:00:00"/>
    <n v="905"/>
    <n v="724"/>
    <n v="181"/>
  </r>
  <r>
    <d v="2005-09-27T00:00:00"/>
    <x v="1"/>
    <x v="7"/>
    <x v="1"/>
    <d v="2006-01-01T00:00:00"/>
    <n v="579"/>
    <n v="463.20000000000005"/>
    <n v="115.79999999999995"/>
  </r>
  <r>
    <d v="2005-09-28T00:00:00"/>
    <x v="0"/>
    <x v="2"/>
    <x v="2"/>
    <d v="2006-01-01T00:00:00"/>
    <n v="905"/>
    <n v="724"/>
    <n v="181"/>
  </r>
  <r>
    <d v="2005-10-06T00:00:00"/>
    <x v="1"/>
    <x v="4"/>
    <x v="0"/>
    <d v="2006-02-01T00:00:00"/>
    <n v="581"/>
    <n v="464.8"/>
    <n v="116.19999999999999"/>
  </r>
  <r>
    <d v="2005-10-07T00:00:00"/>
    <x v="0"/>
    <x v="3"/>
    <x v="3"/>
    <d v="2006-02-01T00:00:00"/>
    <n v="961"/>
    <n v="768.80000000000007"/>
    <n v="192.19999999999993"/>
  </r>
  <r>
    <d v="2005-10-15T00:00:00"/>
    <x v="1"/>
    <x v="7"/>
    <x v="1"/>
    <d v="2006-02-01T00:00:00"/>
    <n v="581"/>
    <n v="464.8"/>
    <n v="116.19999999999999"/>
  </r>
  <r>
    <d v="2005-10-16T00:00:00"/>
    <x v="0"/>
    <x v="2"/>
    <x v="2"/>
    <d v="2006-02-01T00:00:00"/>
    <n v="961"/>
    <n v="768.80000000000007"/>
    <n v="192.19999999999993"/>
  </r>
  <r>
    <d v="2005-10-24T00:00:00"/>
    <x v="1"/>
    <x v="4"/>
    <x v="0"/>
    <d v="2006-02-01T00:00:00"/>
    <n v="583"/>
    <n v="466.40000000000003"/>
    <n v="116.59999999999997"/>
  </r>
  <r>
    <d v="2005-10-25T00:00:00"/>
    <x v="0"/>
    <x v="3"/>
    <x v="3"/>
    <d v="2006-02-01T00:00:00"/>
    <n v="1017"/>
    <n v="813.6"/>
    <n v="203.39999999999998"/>
  </r>
  <r>
    <d v="2005-11-02T00:00:00"/>
    <x v="1"/>
    <x v="7"/>
    <x v="1"/>
    <d v="2006-03-01T00:00:00"/>
    <n v="583"/>
    <n v="466.40000000000003"/>
    <n v="116.59999999999997"/>
  </r>
  <r>
    <d v="2005-11-03T00:00:00"/>
    <x v="0"/>
    <x v="0"/>
    <x v="2"/>
    <d v="2006-03-01T00:00:00"/>
    <n v="1017"/>
    <n v="813.6"/>
    <n v="203.39999999999998"/>
  </r>
  <r>
    <d v="2005-11-11T00:00:00"/>
    <x v="1"/>
    <x v="4"/>
    <x v="0"/>
    <d v="2006-03-01T00:00:00"/>
    <n v="585"/>
    <n v="468"/>
    <n v="117"/>
  </r>
  <r>
    <d v="2005-11-12T00:00:00"/>
    <x v="0"/>
    <x v="3"/>
    <x v="3"/>
    <d v="2006-03-01T00:00:00"/>
    <n v="1049"/>
    <n v="839.2"/>
    <n v="209.79999999999995"/>
  </r>
  <r>
    <d v="2005-11-20T00:00:00"/>
    <x v="1"/>
    <x v="4"/>
    <x v="1"/>
    <d v="2006-03-01T00:00:00"/>
    <n v="587"/>
    <n v="469.6"/>
    <n v="117.39999999999998"/>
  </r>
  <r>
    <d v="2005-11-21T00:00:00"/>
    <x v="0"/>
    <x v="0"/>
    <x v="2"/>
    <d v="2006-03-01T00:00:00"/>
    <n v="1049"/>
    <n v="839.2"/>
    <n v="209.79999999999995"/>
  </r>
  <r>
    <d v="2005-11-29T00:00:00"/>
    <x v="1"/>
    <x v="7"/>
    <x v="0"/>
    <d v="2006-03-01T00:00:00"/>
    <n v="587"/>
    <n v="469.6"/>
    <n v="117.39999999999998"/>
  </r>
  <r>
    <d v="2005-11-30T00:00:00"/>
    <x v="0"/>
    <x v="3"/>
    <x v="3"/>
    <d v="2006-03-01T00:00:00"/>
    <n v="1073"/>
    <n v="858.40000000000009"/>
    <n v="214.59999999999991"/>
  </r>
  <r>
    <d v="2005-12-08T00:00:00"/>
    <x v="1"/>
    <x v="4"/>
    <x v="1"/>
    <d v="2006-04-01T00:00:00"/>
    <n v="589"/>
    <n v="471.20000000000005"/>
    <n v="117.79999999999995"/>
  </r>
  <r>
    <d v="2005-12-09T00:00:00"/>
    <x v="0"/>
    <x v="0"/>
    <x v="2"/>
    <d v="2006-04-01T00:00:00"/>
    <n v="1073"/>
    <n v="858.40000000000009"/>
    <n v="214.59999999999991"/>
  </r>
  <r>
    <d v="2005-12-17T00:00:00"/>
    <x v="1"/>
    <x v="4"/>
    <x v="0"/>
    <d v="2006-04-01T00:00:00"/>
    <n v="591"/>
    <n v="472.8"/>
    <n v="118.19999999999999"/>
  </r>
  <r>
    <d v="2005-12-18T00:00:00"/>
    <x v="0"/>
    <x v="3"/>
    <x v="3"/>
    <d v="2006-04-01T00:00:00"/>
    <n v="1129"/>
    <n v="903.2"/>
    <n v="225.79999999999995"/>
  </r>
  <r>
    <d v="2005-12-26T00:00:00"/>
    <x v="1"/>
    <x v="4"/>
    <x v="1"/>
    <d v="2006-04-01T00:00:00"/>
    <n v="593"/>
    <n v="474.40000000000003"/>
    <n v="118.59999999999997"/>
  </r>
  <r>
    <d v="2005-12-27T00:00:00"/>
    <x v="0"/>
    <x v="0"/>
    <x v="2"/>
    <d v="2006-04-01T00:00:00"/>
    <n v="1129"/>
    <n v="903.2"/>
    <n v="225.79999999999995"/>
  </r>
  <r>
    <d v="2006-01-04T00:00:00"/>
    <x v="1"/>
    <x v="4"/>
    <x v="0"/>
    <d v="2006-05-01T00:00:00"/>
    <n v="595"/>
    <n v="476"/>
    <n v="119"/>
  </r>
  <r>
    <d v="2006-01-05T00:00:00"/>
    <x v="0"/>
    <x v="3"/>
    <x v="3"/>
    <d v="2006-05-01T00:00:00"/>
    <n v="1185"/>
    <n v="948"/>
    <n v="237"/>
  </r>
  <r>
    <d v="2006-01-13T00:00:00"/>
    <x v="1"/>
    <x v="4"/>
    <x v="1"/>
    <d v="2006-05-01T00:00:00"/>
    <n v="597"/>
    <n v="477.6"/>
    <n v="119.39999999999998"/>
  </r>
  <r>
    <d v="2006-01-14T00:00:00"/>
    <x v="0"/>
    <x v="0"/>
    <x v="2"/>
    <d v="2006-05-01T00:00:00"/>
    <n v="1185"/>
    <n v="948"/>
    <n v="237"/>
  </r>
  <r>
    <d v="2006-01-22T00:00:00"/>
    <x v="1"/>
    <x v="4"/>
    <x v="0"/>
    <d v="2006-05-01T00:00:00"/>
    <n v="599"/>
    <n v="479.20000000000005"/>
    <n v="119.79999999999995"/>
  </r>
  <r>
    <d v="2006-01-23T00:00:00"/>
    <x v="0"/>
    <x v="3"/>
    <x v="3"/>
    <d v="2006-05-01T00:00:00"/>
    <n v="1206"/>
    <n v="964.80000000000007"/>
    <n v="241.19999999999993"/>
  </r>
  <r>
    <d v="2006-01-31T00:00:00"/>
    <x v="1"/>
    <x v="4"/>
    <x v="1"/>
    <d v="2006-05-01T00:00:00"/>
    <n v="601"/>
    <n v="480.8"/>
    <n v="120.19999999999999"/>
  </r>
  <r>
    <d v="2006-02-01T00:00:00"/>
    <x v="0"/>
    <x v="0"/>
    <x v="2"/>
    <d v="2006-06-01T00:00:00"/>
    <n v="1206"/>
    <n v="964.80000000000007"/>
    <n v="241.19999999999993"/>
  </r>
  <r>
    <d v="2006-02-09T00:00:00"/>
    <x v="1"/>
    <x v="4"/>
    <x v="0"/>
    <d v="2006-06-01T00:00:00"/>
    <n v="603"/>
    <n v="482.40000000000003"/>
    <n v="120.59999999999997"/>
  </r>
  <r>
    <d v="2006-02-10T00:00:00"/>
    <x v="0"/>
    <x v="3"/>
    <x v="3"/>
    <d v="2006-06-01T00:00:00"/>
    <n v="1241"/>
    <n v="992.80000000000007"/>
    <n v="248.19999999999993"/>
  </r>
  <r>
    <d v="2006-02-18T00:00:00"/>
    <x v="1"/>
    <x v="4"/>
    <x v="1"/>
    <d v="2006-06-01T00:00:00"/>
    <n v="605"/>
    <n v="484"/>
    <n v="121"/>
  </r>
  <r>
    <d v="2006-02-19T00:00:00"/>
    <x v="0"/>
    <x v="0"/>
    <x v="2"/>
    <d v="2006-06-01T00:00:00"/>
    <n v="1241"/>
    <n v="992.80000000000007"/>
    <n v="248.19999999999993"/>
  </r>
  <r>
    <d v="2006-02-27T00:00:00"/>
    <x v="1"/>
    <x v="4"/>
    <x v="0"/>
    <d v="2006-06-01T00:00:00"/>
    <n v="607"/>
    <n v="485.6"/>
    <n v="121.39999999999998"/>
  </r>
  <r>
    <d v="2006-02-28T00:00:00"/>
    <x v="0"/>
    <x v="3"/>
    <x v="3"/>
    <d v="2006-06-01T00:00:00"/>
    <n v="1297"/>
    <n v="1037.6000000000001"/>
    <n v="259.39999999999986"/>
  </r>
  <r>
    <d v="2006-03-08T00:00:00"/>
    <x v="1"/>
    <x v="4"/>
    <x v="1"/>
    <d v="2006-07-01T00:00:00"/>
    <n v="609"/>
    <n v="487.20000000000005"/>
    <n v="121.79999999999995"/>
  </r>
  <r>
    <d v="2006-03-09T00:00:00"/>
    <x v="0"/>
    <x v="3"/>
    <x v="2"/>
    <d v="2006-07-01T00:00:00"/>
    <n v="1353"/>
    <n v="1082.4000000000001"/>
    <n v="270.59999999999991"/>
  </r>
  <r>
    <d v="2006-03-17T00:00:00"/>
    <x v="1"/>
    <x v="4"/>
    <x v="0"/>
    <d v="2006-07-01T00:00:00"/>
    <n v="611"/>
    <n v="488.8"/>
    <n v="122.19999999999999"/>
  </r>
  <r>
    <d v="2006-03-18T00:00:00"/>
    <x v="0"/>
    <x v="3"/>
    <x v="3"/>
    <d v="2006-07-01T00:00:00"/>
    <n v="1364"/>
    <n v="1091.2"/>
    <n v="272.79999999999995"/>
  </r>
  <r>
    <d v="2006-03-26T00:00:00"/>
    <x v="1"/>
    <x v="8"/>
    <x v="1"/>
    <d v="2006-07-01T00:00:00"/>
    <n v="613"/>
    <n v="490.40000000000003"/>
    <n v="122.59999999999997"/>
  </r>
  <r>
    <d v="2006-03-27T00:00:00"/>
    <x v="0"/>
    <x v="0"/>
    <x v="2"/>
    <d v="2006-07-01T00:00:00"/>
    <n v="1364"/>
    <n v="1091.2"/>
    <n v="272.79999999999995"/>
  </r>
  <r>
    <d v="2006-04-04T00:00:00"/>
    <x v="1"/>
    <x v="8"/>
    <x v="0"/>
    <d v="2006-08-01T00:00:00"/>
    <n v="613"/>
    <n v="490.40000000000003"/>
    <n v="122.59999999999997"/>
  </r>
  <r>
    <d v="2006-04-05T00:00:00"/>
    <x v="0"/>
    <x v="3"/>
    <x v="3"/>
    <d v="2006-08-01T00:00:00"/>
    <n v="1409"/>
    <n v="1127.2"/>
    <n v="281.79999999999995"/>
  </r>
  <r>
    <d v="2006-04-13T00:00:00"/>
    <x v="1"/>
    <x v="4"/>
    <x v="1"/>
    <d v="2006-08-01T00:00:00"/>
    <n v="615"/>
    <n v="492"/>
    <n v="123"/>
  </r>
  <r>
    <d v="2006-04-14T00:00:00"/>
    <x v="0"/>
    <x v="3"/>
    <x v="2"/>
    <d v="2006-08-01T00:00:00"/>
    <n v="1465"/>
    <n v="1172"/>
    <n v="293"/>
  </r>
  <r>
    <d v="2006-04-22T00:00:00"/>
    <x v="1"/>
    <x v="8"/>
    <x v="0"/>
    <d v="2006-08-01T00:00:00"/>
    <n v="617"/>
    <n v="493.6"/>
    <n v="123.39999999999998"/>
  </r>
  <r>
    <d v="2006-04-23T00:00:00"/>
    <x v="0"/>
    <x v="3"/>
    <x v="3"/>
    <d v="2006-08-01T00:00:00"/>
    <n v="1521"/>
    <n v="1216.8"/>
    <n v="304.20000000000005"/>
  </r>
  <r>
    <d v="2006-05-01T00:00:00"/>
    <x v="1"/>
    <x v="8"/>
    <x v="1"/>
    <d v="2006-09-01T00:00:00"/>
    <n v="617"/>
    <n v="493.6"/>
    <n v="123.39999999999998"/>
  </r>
  <r>
    <d v="2006-05-02T00:00:00"/>
    <x v="0"/>
    <x v="0"/>
    <x v="2"/>
    <d v="2006-09-01T00:00:00"/>
    <n v="1521"/>
    <n v="1216.8"/>
    <n v="304.20000000000005"/>
  </r>
  <r>
    <d v="2006-05-10T00:00:00"/>
    <x v="1"/>
    <x v="8"/>
    <x v="0"/>
    <d v="2006-09-01T00:00:00"/>
    <n v="619"/>
    <n v="495.20000000000005"/>
    <n v="123.79999999999995"/>
  </r>
  <r>
    <d v="2006-05-11T00:00:00"/>
    <x v="0"/>
    <x v="0"/>
    <x v="3"/>
    <d v="2006-09-01T00:00:00"/>
    <n v="1577"/>
    <n v="1261.6000000000001"/>
    <n v="315.39999999999986"/>
  </r>
  <r>
    <d v="2006-05-19T00:00:00"/>
    <x v="1"/>
    <x v="8"/>
    <x v="1"/>
    <d v="2006-09-01T00:00:00"/>
    <n v="619"/>
    <n v="495.20000000000005"/>
    <n v="123.79999999999995"/>
  </r>
  <r>
    <d v="2006-05-20T00:00:00"/>
    <x v="0"/>
    <x v="6"/>
    <x v="2"/>
    <d v="2006-09-01T00:00:00"/>
    <n v="1597"/>
    <n v="1277.6000000000001"/>
    <n v="319.39999999999986"/>
  </r>
  <r>
    <d v="2006-05-28T00:00:00"/>
    <x v="1"/>
    <x v="8"/>
    <x v="0"/>
    <d v="2006-09-01T00:00:00"/>
    <n v="621"/>
    <n v="496.8"/>
    <n v="124.19999999999999"/>
  </r>
  <r>
    <d v="2006-05-29T00:00:00"/>
    <x v="0"/>
    <x v="6"/>
    <x v="3"/>
    <d v="2006-09-01T00:00:00"/>
    <n v="1597"/>
    <n v="1277.6000000000001"/>
    <n v="319.39999999999986"/>
  </r>
  <r>
    <d v="2006-06-06T00:00:00"/>
    <x v="1"/>
    <x v="8"/>
    <x v="1"/>
    <d v="2006-10-01T00:00:00"/>
    <n v="621"/>
    <n v="496.8"/>
    <n v="124.19999999999999"/>
  </r>
  <r>
    <d v="2006-06-07T00:00:00"/>
    <x v="0"/>
    <x v="6"/>
    <x v="2"/>
    <d v="2006-10-01T00:00:00"/>
    <n v="1608"/>
    <n v="1286.4000000000001"/>
    <n v="321.59999999999991"/>
  </r>
  <r>
    <d v="2006-06-15T00:00:00"/>
    <x v="1"/>
    <x v="8"/>
    <x v="0"/>
    <d v="2006-10-01T00:00:00"/>
    <n v="623"/>
    <n v="498.40000000000003"/>
    <n v="124.59999999999997"/>
  </r>
  <r>
    <d v="2006-06-16T00:00:00"/>
    <x v="0"/>
    <x v="6"/>
    <x v="3"/>
    <d v="2006-10-01T00:00:00"/>
    <n v="1608"/>
    <n v="1286.4000000000001"/>
    <n v="321.59999999999991"/>
  </r>
  <r>
    <d v="2006-06-24T00:00:00"/>
    <x v="1"/>
    <x v="8"/>
    <x v="1"/>
    <d v="2006-10-01T00:00:00"/>
    <n v="623"/>
    <n v="498.40000000000003"/>
    <n v="124.59999999999997"/>
  </r>
  <r>
    <d v="2006-06-25T00:00:00"/>
    <x v="0"/>
    <x v="6"/>
    <x v="2"/>
    <d v="2006-10-01T00:00:00"/>
    <n v="1619"/>
    <n v="1295.2"/>
    <n v="323.79999999999995"/>
  </r>
  <r>
    <d v="2006-07-03T00:00:00"/>
    <x v="1"/>
    <x v="8"/>
    <x v="0"/>
    <d v="2006-11-01T00:00:00"/>
    <n v="625"/>
    <n v="500"/>
    <n v="125"/>
  </r>
  <r>
    <d v="2006-07-04T00:00:00"/>
    <x v="0"/>
    <x v="6"/>
    <x v="3"/>
    <d v="2006-11-01T00:00:00"/>
    <n v="1619"/>
    <n v="1295.2"/>
    <n v="323.79999999999995"/>
  </r>
  <r>
    <d v="2006-07-12T00:00:00"/>
    <x v="1"/>
    <x v="8"/>
    <x v="1"/>
    <d v="2006-11-01T00:00:00"/>
    <n v="625"/>
    <n v="500"/>
    <n v="125"/>
  </r>
  <r>
    <d v="2006-07-13T00:00:00"/>
    <x v="0"/>
    <x v="6"/>
    <x v="2"/>
    <d v="2006-11-01T00:00:00"/>
    <n v="1630"/>
    <n v="1304"/>
    <n v="326"/>
  </r>
  <r>
    <d v="2006-07-21T00:00:00"/>
    <x v="1"/>
    <x v="8"/>
    <x v="0"/>
    <d v="2006-11-01T00:00:00"/>
    <n v="627"/>
    <n v="501.6"/>
    <n v="125.39999999999998"/>
  </r>
  <r>
    <d v="2006-07-22T00:00:00"/>
    <x v="0"/>
    <x v="6"/>
    <x v="3"/>
    <d v="2006-11-01T00:00:00"/>
    <n v="1630"/>
    <n v="1304"/>
    <n v="326"/>
  </r>
  <r>
    <d v="2006-07-30T00:00:00"/>
    <x v="1"/>
    <x v="8"/>
    <x v="1"/>
    <d v="2006-11-01T00:00:00"/>
    <n v="627"/>
    <n v="501.6"/>
    <n v="125.39999999999998"/>
  </r>
  <r>
    <d v="2006-07-31T00:00:00"/>
    <x v="0"/>
    <x v="0"/>
    <x v="2"/>
    <d v="2006-11-01T00:00:00"/>
    <n v="1633"/>
    <n v="1306.4000000000001"/>
    <n v="326.59999999999991"/>
  </r>
  <r>
    <d v="2006-08-08T00:00:00"/>
    <x v="1"/>
    <x v="8"/>
    <x v="0"/>
    <d v="2006-12-01T00:00:00"/>
    <n v="629"/>
    <n v="503.20000000000005"/>
    <n v="125.79999999999995"/>
  </r>
  <r>
    <d v="2006-08-09T00:00:00"/>
    <x v="0"/>
    <x v="6"/>
    <x v="3"/>
    <d v="2006-12-01T00:00:00"/>
    <n v="1641"/>
    <n v="1312.8000000000002"/>
    <n v="328.19999999999982"/>
  </r>
  <r>
    <d v="2006-08-17T00:00:00"/>
    <x v="1"/>
    <x v="8"/>
    <x v="1"/>
    <d v="2006-12-01T00:00:00"/>
    <n v="629"/>
    <n v="503.20000000000005"/>
    <n v="125.79999999999995"/>
  </r>
  <r>
    <d v="2006-08-18T00:00:00"/>
    <x v="0"/>
    <x v="6"/>
    <x v="2"/>
    <d v="2006-12-01T00:00:00"/>
    <n v="1641"/>
    <n v="1312.8000000000002"/>
    <n v="328.19999999999982"/>
  </r>
  <r>
    <d v="2006-08-26T00:00:00"/>
    <x v="1"/>
    <x v="8"/>
    <x v="0"/>
    <d v="2006-12-01T00:00:00"/>
    <n v="631"/>
    <n v="504.8"/>
    <n v="126.19999999999999"/>
  </r>
  <r>
    <d v="2006-08-27T00:00:00"/>
    <x v="0"/>
    <x v="6"/>
    <x v="3"/>
    <d v="2006-12-01T00:00:00"/>
    <n v="1652"/>
    <n v="1321.6000000000001"/>
    <n v="330.39999999999986"/>
  </r>
  <r>
    <d v="2006-09-04T00:00:00"/>
    <x v="1"/>
    <x v="8"/>
    <x v="1"/>
    <d v="2007-01-01T00:00:00"/>
    <n v="631"/>
    <n v="504.8"/>
    <n v="126.19999999999999"/>
  </r>
  <r>
    <d v="2006-09-05T00:00:00"/>
    <x v="0"/>
    <x v="6"/>
    <x v="2"/>
    <d v="2007-01-01T00:00:00"/>
    <n v="1652"/>
    <n v="1321.6000000000001"/>
    <n v="330.39999999999986"/>
  </r>
  <r>
    <d v="2006-09-13T00:00:00"/>
    <x v="1"/>
    <x v="8"/>
    <x v="0"/>
    <d v="2007-01-01T00:00:00"/>
    <n v="633"/>
    <n v="506.40000000000003"/>
    <n v="126.59999999999997"/>
  </r>
  <r>
    <d v="2006-09-14T00:00:00"/>
    <x v="0"/>
    <x v="6"/>
    <x v="3"/>
    <d v="2007-01-01T00:00:00"/>
    <n v="1663"/>
    <n v="1330.4"/>
    <n v="332.59999999999991"/>
  </r>
  <r>
    <d v="2006-09-22T00:00:00"/>
    <x v="1"/>
    <x v="8"/>
    <x v="1"/>
    <d v="2007-01-01T00:00:00"/>
    <n v="633"/>
    <n v="506.40000000000003"/>
    <n v="126.59999999999997"/>
  </r>
  <r>
    <d v="2006-09-23T00:00:00"/>
    <x v="0"/>
    <x v="6"/>
    <x v="2"/>
    <d v="2007-01-01T00:00:00"/>
    <n v="1663"/>
    <n v="1330.4"/>
    <n v="332.59999999999991"/>
  </r>
  <r>
    <d v="2006-10-01T00:00:00"/>
    <x v="1"/>
    <x v="8"/>
    <x v="0"/>
    <d v="2007-02-01T00:00:00"/>
    <n v="635"/>
    <n v="508"/>
    <n v="127"/>
  </r>
  <r>
    <d v="2006-10-02T00:00:00"/>
    <x v="0"/>
    <x v="6"/>
    <x v="3"/>
    <d v="2007-02-01T00:00:00"/>
    <n v="1674"/>
    <n v="1339.2"/>
    <n v="334.79999999999995"/>
  </r>
  <r>
    <d v="2006-10-10T00:00:00"/>
    <x v="1"/>
    <x v="8"/>
    <x v="1"/>
    <d v="2007-02-01T00:00:00"/>
    <n v="635"/>
    <n v="508"/>
    <n v="127"/>
  </r>
  <r>
    <d v="2006-10-11T00:00:00"/>
    <x v="0"/>
    <x v="9"/>
    <x v="2"/>
    <d v="2007-02-01T00:00:00"/>
    <n v="1674"/>
    <n v="1339.2"/>
    <n v="334.79999999999995"/>
  </r>
  <r>
    <d v="2006-10-19T00:00:00"/>
    <x v="1"/>
    <x v="8"/>
    <x v="0"/>
    <d v="2007-02-01T00:00:00"/>
    <n v="637"/>
    <n v="509.6"/>
    <n v="127.39999999999998"/>
  </r>
  <r>
    <d v="2006-10-20T00:00:00"/>
    <x v="0"/>
    <x v="3"/>
    <x v="3"/>
    <d v="2007-02-01T00:00:00"/>
    <n v="1679"/>
    <n v="1343.2"/>
    <n v="335.79999999999995"/>
  </r>
  <r>
    <d v="2006-10-28T00:00:00"/>
    <x v="1"/>
    <x v="8"/>
    <x v="1"/>
    <d v="2007-02-01T00:00:00"/>
    <n v="637"/>
    <n v="509.6"/>
    <n v="127.39999999999998"/>
  </r>
  <r>
    <d v="2006-10-29T00:00:00"/>
    <x v="0"/>
    <x v="6"/>
    <x v="2"/>
    <d v="2007-02-01T00:00:00"/>
    <n v="1685"/>
    <n v="1348"/>
    <n v="337"/>
  </r>
  <r>
    <d v="2006-11-06T00:00:00"/>
    <x v="1"/>
    <x v="4"/>
    <x v="0"/>
    <d v="2007-03-01T00:00:00"/>
    <n v="639"/>
    <n v="511.20000000000005"/>
    <n v="127.79999999999995"/>
  </r>
  <r>
    <d v="2006-11-07T00:00:00"/>
    <x v="0"/>
    <x v="9"/>
    <x v="3"/>
    <d v="2007-03-01T00:00:00"/>
    <n v="1685"/>
    <n v="1348"/>
    <n v="337"/>
  </r>
  <r>
    <d v="2006-11-15T00:00:00"/>
    <x v="1"/>
    <x v="7"/>
    <x v="1"/>
    <d v="2007-03-01T00:00:00"/>
    <n v="639"/>
    <n v="511.20000000000005"/>
    <n v="127.79999999999995"/>
  </r>
  <r>
    <d v="2006-11-16T00:00:00"/>
    <x v="0"/>
    <x v="0"/>
    <x v="2"/>
    <d v="2007-03-01T00:00:00"/>
    <n v="1689"/>
    <n v="1351.2"/>
    <n v="337.79999999999995"/>
  </r>
  <r>
    <d v="2006-11-24T00:00:00"/>
    <x v="1"/>
    <x v="4"/>
    <x v="0"/>
    <d v="2007-03-01T00:00:00"/>
    <n v="641"/>
    <n v="512.80000000000007"/>
    <n v="128.19999999999993"/>
  </r>
  <r>
    <d v="2006-11-25T00:00:00"/>
    <x v="0"/>
    <x v="6"/>
    <x v="3"/>
    <d v="2007-03-01T00:00:00"/>
    <n v="1696"/>
    <n v="1356.8000000000002"/>
    <n v="339.19999999999982"/>
  </r>
  <r>
    <d v="2006-12-03T00:00:00"/>
    <x v="1"/>
    <x v="7"/>
    <x v="1"/>
    <d v="2007-04-01T00:00:00"/>
    <n v="641"/>
    <n v="512.80000000000007"/>
    <n v="128.19999999999993"/>
  </r>
  <r>
    <d v="2006-12-04T00:00:00"/>
    <x v="0"/>
    <x v="9"/>
    <x v="2"/>
    <d v="2007-04-01T00:00:00"/>
    <n v="1696"/>
    <n v="1356.8000000000002"/>
    <n v="339.19999999999982"/>
  </r>
  <r>
    <d v="2006-12-12T00:00:00"/>
    <x v="1"/>
    <x v="4"/>
    <x v="0"/>
    <d v="2007-04-01T00:00:00"/>
    <n v="643"/>
    <n v="514.4"/>
    <n v="128.60000000000002"/>
  </r>
  <r>
    <d v="2006-12-13T00:00:00"/>
    <x v="0"/>
    <x v="10"/>
    <x v="3"/>
    <d v="2007-04-01T00:00:00"/>
    <n v="1707"/>
    <n v="1365.6000000000001"/>
    <n v="341.39999999999986"/>
  </r>
  <r>
    <d v="2006-12-21T00:00:00"/>
    <x v="1"/>
    <x v="7"/>
    <x v="1"/>
    <d v="2007-04-01T00:00:00"/>
    <n v="643"/>
    <n v="514.4"/>
    <n v="128.60000000000002"/>
  </r>
  <r>
    <d v="2006-12-22T00:00:00"/>
    <x v="0"/>
    <x v="10"/>
    <x v="2"/>
    <d v="2007-04-01T00:00:00"/>
    <n v="1707"/>
    <n v="1365.6000000000001"/>
    <n v="341.39999999999986"/>
  </r>
  <r>
    <d v="2006-12-30T00:00:00"/>
    <x v="1"/>
    <x v="1"/>
    <x v="0"/>
    <d v="2007-04-01T00:00:00"/>
    <n v="645"/>
    <n v="516"/>
    <n v="129"/>
  </r>
  <r>
    <d v="2006-12-31T00:00:00"/>
    <x v="0"/>
    <x v="10"/>
    <x v="3"/>
    <d v="2007-04-01T00:00:00"/>
    <n v="1718"/>
    <n v="1374.4"/>
    <n v="343.59999999999991"/>
  </r>
  <r>
    <d v="2007-01-09T00:00:00"/>
    <x v="1"/>
    <x v="10"/>
    <x v="1"/>
    <d v="2007-05-01T00:00:00"/>
    <n v="1718"/>
    <n v="1374.4"/>
    <n v="343.59999999999991"/>
  </r>
  <r>
    <d v="2007-01-18T00:00:00"/>
    <x v="0"/>
    <x v="2"/>
    <x v="2"/>
    <d v="2007-05-01T00:00:00"/>
    <n v="1729"/>
    <n v="1383.2"/>
    <n v="345.79999999999995"/>
  </r>
  <r>
    <d v="2007-01-27T00:00:00"/>
    <x v="1"/>
    <x v="10"/>
    <x v="0"/>
    <d v="2007-05-01T00:00:00"/>
    <n v="1729"/>
    <n v="1383.2"/>
    <n v="345.79999999999995"/>
  </r>
  <r>
    <d v="2007-02-05T00:00:00"/>
    <x v="0"/>
    <x v="2"/>
    <x v="3"/>
    <d v="2007-06-01T00:00:00"/>
    <n v="1740"/>
    <n v="1392"/>
    <n v="348"/>
  </r>
  <r>
    <d v="2007-02-14T00:00:00"/>
    <x v="1"/>
    <x v="10"/>
    <x v="1"/>
    <d v="2007-06-01T00:00:00"/>
    <n v="1740"/>
    <n v="1392"/>
    <n v="348"/>
  </r>
  <r>
    <d v="2007-02-23T00:00:00"/>
    <x v="0"/>
    <x v="0"/>
    <x v="2"/>
    <d v="2007-06-01T00:00:00"/>
    <n v="1745"/>
    <n v="1396"/>
    <n v="349"/>
  </r>
  <r>
    <d v="2007-03-04T00:00:00"/>
    <x v="1"/>
    <x v="10"/>
    <x v="0"/>
    <d v="2007-07-01T00:00:00"/>
    <n v="1751"/>
    <n v="1400.8000000000002"/>
    <n v="350.19999999999982"/>
  </r>
  <r>
    <d v="2007-03-13T00:00:00"/>
    <x v="0"/>
    <x v="10"/>
    <x v="3"/>
    <d v="2007-07-01T00:00:00"/>
    <n v="1762"/>
    <n v="1409.6000000000001"/>
    <n v="352.39999999999986"/>
  </r>
  <r>
    <d v="2007-03-22T00:00:00"/>
    <x v="1"/>
    <x v="2"/>
    <x v="1"/>
    <d v="2007-07-01T00:00:00"/>
    <n v="1773"/>
    <n v="1418.4"/>
    <n v="354.59999999999991"/>
  </r>
  <r>
    <d v="2007-03-31T00:00:00"/>
    <x v="0"/>
    <x v="10"/>
    <x v="2"/>
    <d v="2007-07-01T00:00:00"/>
    <n v="1784"/>
    <n v="1427.2"/>
    <n v="356.79999999999995"/>
  </r>
  <r>
    <d v="2007-04-09T00:00:00"/>
    <x v="1"/>
    <x v="10"/>
    <x v="0"/>
    <d v="2007-08-01T00:00:00"/>
    <n v="1795"/>
    <n v="1436"/>
    <n v="359"/>
  </r>
  <r>
    <d v="2007-04-18T00:00:00"/>
    <x v="0"/>
    <x v="0"/>
    <x v="3"/>
    <d v="2007-08-01T00:00:00"/>
    <n v="1801"/>
    <n v="1440.8000000000002"/>
    <n v="360.19999999999982"/>
  </r>
  <r>
    <d v="2007-04-27T00:00:00"/>
    <x v="1"/>
    <x v="10"/>
    <x v="1"/>
    <d v="2007-08-01T00:00:00"/>
    <n v="1806"/>
    <n v="1444.8000000000002"/>
    <n v="361.19999999999982"/>
  </r>
  <r>
    <d v="2007-05-06T00:00:00"/>
    <x v="0"/>
    <x v="10"/>
    <x v="2"/>
    <d v="2007-09-01T00:00:00"/>
    <n v="1817"/>
    <n v="1453.6000000000001"/>
    <n v="363.39999999999986"/>
  </r>
  <r>
    <d v="2007-05-15T00:00:00"/>
    <x v="1"/>
    <x v="5"/>
    <x v="0"/>
    <d v="2007-09-01T00:00:00"/>
    <n v="1828"/>
    <n v="1462.4"/>
    <n v="365.59999999999991"/>
  </r>
  <r>
    <d v="2007-05-24T00:00:00"/>
    <x v="0"/>
    <x v="3"/>
    <x v="3"/>
    <d v="2007-09-01T00:00:00"/>
    <n v="1836"/>
    <n v="1468.8000000000002"/>
    <n v="367.19999999999982"/>
  </r>
  <r>
    <d v="2007-06-02T00:00:00"/>
    <x v="1"/>
    <x v="5"/>
    <x v="1"/>
    <d v="2007-10-01T00:00:00"/>
    <n v="1839"/>
    <n v="1471.2"/>
    <n v="367.79999999999995"/>
  </r>
  <r>
    <d v="2007-06-11T00:00:00"/>
    <x v="0"/>
    <x v="11"/>
    <x v="2"/>
    <d v="2007-10-01T00:00:00"/>
    <n v="1850"/>
    <n v="1480"/>
    <n v="370"/>
  </r>
  <r>
    <d v="2007-06-20T00:00:00"/>
    <x v="1"/>
    <x v="0"/>
    <x v="0"/>
    <d v="2007-10-01T00:00:00"/>
    <n v="1857"/>
    <n v="1485.6000000000001"/>
    <n v="371.39999999999986"/>
  </r>
  <r>
    <d v="2007-06-29T00:00:00"/>
    <x v="0"/>
    <x v="11"/>
    <x v="3"/>
    <d v="2007-10-01T00:00:00"/>
    <n v="1861"/>
    <n v="1488.8000000000002"/>
    <n v="372.19999999999982"/>
  </r>
  <r>
    <d v="2007-07-08T00:00:00"/>
    <x v="1"/>
    <x v="11"/>
    <x v="1"/>
    <d v="2007-11-01T00:00:00"/>
    <n v="1872"/>
    <n v="1497.6000000000001"/>
    <n v="374.39999999999986"/>
  </r>
  <r>
    <d v="2007-07-17T00:00:00"/>
    <x v="0"/>
    <x v="5"/>
    <x v="2"/>
    <d v="2007-11-01T00:00:00"/>
    <n v="1883"/>
    <n v="1506.4"/>
    <n v="376.59999999999991"/>
  </r>
  <r>
    <d v="2007-07-26T00:00:00"/>
    <x v="1"/>
    <x v="11"/>
    <x v="0"/>
    <d v="2007-11-01T00:00:00"/>
    <n v="1894"/>
    <n v="1515.2"/>
    <n v="378.79999999999995"/>
  </r>
  <r>
    <d v="2007-08-04T00:00:00"/>
    <x v="0"/>
    <x v="5"/>
    <x v="3"/>
    <d v="2007-12-01T00:00:00"/>
    <n v="1905"/>
    <n v="1524"/>
    <n v="381"/>
  </r>
  <r>
    <d v="2007-08-13T00:00:00"/>
    <x v="1"/>
    <x v="11"/>
    <x v="1"/>
    <d v="2007-12-01T00:00:00"/>
    <n v="1905"/>
    <n v="1524"/>
    <n v="381"/>
  </r>
  <r>
    <d v="2007-08-22T00:00:00"/>
    <x v="0"/>
    <x v="0"/>
    <x v="2"/>
    <d v="2007-12-01T00:00:00"/>
    <n v="1913"/>
    <n v="1530.4"/>
    <n v="382.59999999999991"/>
  </r>
  <r>
    <d v="2007-08-31T00:00:00"/>
    <x v="1"/>
    <x v="5"/>
    <x v="0"/>
    <d v="2007-12-01T00:00:00"/>
    <n v="1916"/>
    <n v="1532.8000000000002"/>
    <n v="383.19999999999982"/>
  </r>
  <r>
    <d v="2007-09-09T00:00:00"/>
    <x v="0"/>
    <x v="11"/>
    <x v="3"/>
    <d v="2008-01-01T00:00:00"/>
    <n v="1916"/>
    <n v="1532.8000000000002"/>
    <n v="383.19999999999982"/>
  </r>
  <r>
    <d v="2007-09-18T00:00:00"/>
    <x v="1"/>
    <x v="5"/>
    <x v="1"/>
    <d v="2008-01-01T00:00:00"/>
    <n v="1927"/>
    <n v="1541.6000000000001"/>
    <n v="385.39999999999986"/>
  </r>
  <r>
    <d v="2007-09-27T00:00:00"/>
    <x v="0"/>
    <x v="11"/>
    <x v="2"/>
    <d v="2008-01-01T00:00:00"/>
    <n v="1927"/>
    <n v="1541.6000000000001"/>
    <n v="385.39999999999986"/>
  </r>
  <r>
    <d v="2007-10-06T00:00:00"/>
    <x v="1"/>
    <x v="5"/>
    <x v="0"/>
    <d v="2008-02-01T00:00:00"/>
    <n v="1938"/>
    <n v="1550.4"/>
    <n v="387.59999999999991"/>
  </r>
  <r>
    <d v="2007-10-15T00:00:00"/>
    <x v="0"/>
    <x v="11"/>
    <x v="3"/>
    <d v="2008-02-01T00:00:00"/>
    <n v="1938"/>
    <n v="1550.4"/>
    <n v="387.59999999999991"/>
  </r>
  <r>
    <d v="2007-10-24T00:00:00"/>
    <x v="1"/>
    <x v="5"/>
    <x v="1"/>
    <d v="2008-02-01T00:00:00"/>
    <n v="1949"/>
    <n v="1559.2"/>
    <n v="389.79999999999995"/>
  </r>
  <r>
    <d v="2007-11-02T00:00:00"/>
    <x v="0"/>
    <x v="11"/>
    <x v="2"/>
    <d v="2008-03-01T00:00:00"/>
    <n v="1949"/>
    <n v="1559.2"/>
    <n v="389.79999999999995"/>
  </r>
  <r>
    <d v="2007-11-11T00:00:00"/>
    <x v="1"/>
    <x v="5"/>
    <x v="0"/>
    <d v="2008-03-01T00:00:00"/>
    <n v="1960"/>
    <n v="1568"/>
    <n v="392"/>
  </r>
  <r>
    <d v="2007-11-20T00:00:00"/>
    <x v="0"/>
    <x v="11"/>
    <x v="3"/>
    <d v="2008-03-01T00:00:00"/>
    <n v="1960"/>
    <n v="1568"/>
    <n v="392"/>
  </r>
  <r>
    <d v="2007-11-29T00:00:00"/>
    <x v="1"/>
    <x v="0"/>
    <x v="1"/>
    <d v="2008-03-01T00:00:00"/>
    <n v="1969"/>
    <n v="1575.2"/>
    <n v="393.79999999999995"/>
  </r>
  <r>
    <d v="2007-12-08T00:00:00"/>
    <x v="0"/>
    <x v="5"/>
    <x v="2"/>
    <d v="2008-04-01T00:00:00"/>
    <n v="1971"/>
    <n v="1576.8000000000002"/>
    <n v="394.19999999999982"/>
  </r>
  <r>
    <d v="2007-12-17T00:00:00"/>
    <x v="1"/>
    <x v="11"/>
    <x v="0"/>
    <d v="2008-04-01T00:00:00"/>
    <n v="1971"/>
    <n v="1576.8000000000002"/>
    <n v="394.19999999999982"/>
  </r>
  <r>
    <d v="2007-12-26T00:00:00"/>
    <x v="0"/>
    <x v="6"/>
    <x v="3"/>
    <d v="2008-04-01T00:00:00"/>
    <n v="1982"/>
    <n v="1585.6000000000001"/>
    <n v="396.39999999999986"/>
  </r>
  <r>
    <d v="2008-01-04T00:00:00"/>
    <x v="1"/>
    <x v="9"/>
    <x v="1"/>
    <d v="2008-05-01T00:00:00"/>
    <n v="1982"/>
    <n v="1585.6000000000001"/>
    <n v="396.39999999999986"/>
  </r>
  <r>
    <d v="2008-01-13T00:00:00"/>
    <x v="0"/>
    <x v="6"/>
    <x v="2"/>
    <d v="2008-05-01T00:00:00"/>
    <n v="1993"/>
    <n v="1594.4"/>
    <n v="398.59999999999991"/>
  </r>
  <r>
    <d v="2008-01-22T00:00:00"/>
    <x v="1"/>
    <x v="9"/>
    <x v="0"/>
    <d v="2008-05-01T00:00:00"/>
    <n v="1993"/>
    <n v="1594.4"/>
    <n v="398.59999999999991"/>
  </r>
  <r>
    <d v="2008-01-31T00:00:00"/>
    <x v="0"/>
    <x v="3"/>
    <x v="3"/>
    <d v="2008-05-01T00:00:00"/>
    <n v="1994"/>
    <n v="1595.2"/>
    <n v="398.79999999999995"/>
  </r>
  <r>
    <d v="2008-02-09T00:00:00"/>
    <x v="1"/>
    <x v="6"/>
    <x v="1"/>
    <d v="2008-06-01T00:00:00"/>
    <n v="2004"/>
    <n v="1603.2"/>
    <n v="400.79999999999995"/>
  </r>
  <r>
    <d v="2008-02-18T00:00:00"/>
    <x v="0"/>
    <x v="9"/>
    <x v="2"/>
    <d v="2008-06-01T00:00:00"/>
    <n v="2004"/>
    <n v="1603.2"/>
    <n v="400.79999999999995"/>
  </r>
  <r>
    <d v="2008-02-27T00:00:00"/>
    <x v="1"/>
    <x v="6"/>
    <x v="0"/>
    <d v="2008-06-01T00:00:00"/>
    <n v="2015"/>
    <n v="1612"/>
    <n v="403"/>
  </r>
  <r>
    <d v="2008-03-08T00:00:00"/>
    <x v="0"/>
    <x v="9"/>
    <x v="3"/>
    <d v="2008-07-01T00:00:00"/>
    <n v="2015"/>
    <n v="1612"/>
    <n v="403"/>
  </r>
  <r>
    <d v="2008-03-17T00:00:00"/>
    <x v="1"/>
    <x v="0"/>
    <x v="1"/>
    <d v="2008-07-01T00:00:00"/>
    <n v="2025"/>
    <n v="1620"/>
    <n v="405"/>
  </r>
  <r>
    <d v="2008-03-26T00:00:00"/>
    <x v="0"/>
    <x v="6"/>
    <x v="2"/>
    <d v="2008-07-01T00:00:00"/>
    <n v="2026"/>
    <n v="1620.8000000000002"/>
    <n v="405.19999999999982"/>
  </r>
  <r>
    <d v="2008-04-04T00:00:00"/>
    <x v="1"/>
    <x v="9"/>
    <x v="0"/>
    <d v="2008-08-01T00:00:00"/>
    <n v="2026"/>
    <n v="1620.8000000000002"/>
    <n v="405.19999999999982"/>
  </r>
  <r>
    <d v="2008-04-13T00:00:00"/>
    <x v="0"/>
    <x v="6"/>
    <x v="3"/>
    <d v="2008-08-01T00:00:00"/>
    <n v="2037"/>
    <n v="1629.6000000000001"/>
    <n v="407.39999999999986"/>
  </r>
  <r>
    <d v="2008-04-22T00:00:00"/>
    <x v="1"/>
    <x v="9"/>
    <x v="1"/>
    <d v="2008-08-01T00:00:00"/>
    <n v="2037"/>
    <n v="1629.6000000000001"/>
    <n v="407.39999999999986"/>
  </r>
  <r>
    <d v="2008-05-01T00:00:00"/>
    <x v="0"/>
    <x v="6"/>
    <x v="2"/>
    <d v="2008-09-01T00:00:00"/>
    <n v="2048"/>
    <n v="1638.4"/>
    <n v="409.59999999999991"/>
  </r>
  <r>
    <d v="2008-05-10T00:00:00"/>
    <x v="1"/>
    <x v="9"/>
    <x v="0"/>
    <d v="2008-09-01T00:00:00"/>
    <n v="2048"/>
    <n v="1638.4"/>
    <n v="409.59999999999991"/>
  </r>
  <r>
    <d v="2008-05-19T00:00:00"/>
    <x v="0"/>
    <x v="6"/>
    <x v="3"/>
    <d v="2008-09-01T00:00:00"/>
    <n v="2059"/>
    <n v="1647.2"/>
    <n v="411.79999999999995"/>
  </r>
  <r>
    <d v="2008-05-28T00:00:00"/>
    <x v="1"/>
    <x v="6"/>
    <x v="1"/>
    <d v="2008-09-01T00:00:00"/>
    <n v="2070"/>
    <n v="1656"/>
    <n v="414"/>
  </r>
  <r>
    <d v="2008-06-06T00:00:00"/>
    <x v="0"/>
    <x v="6"/>
    <x v="2"/>
    <d v="2008-10-01T00:00:00"/>
    <n v="2081"/>
    <n v="1664.8000000000002"/>
    <n v="416.19999999999982"/>
  </r>
  <r>
    <d v="2008-06-15T00:00:00"/>
    <x v="1"/>
    <x v="0"/>
    <x v="0"/>
    <d v="2008-10-01T00:00:00"/>
    <n v="2081"/>
    <n v="1664.8000000000002"/>
    <n v="416.19999999999982"/>
  </r>
  <r>
    <d v="2008-06-24T00:00:00"/>
    <x v="0"/>
    <x v="2"/>
    <x v="3"/>
    <d v="2008-10-01T00:00:00"/>
    <n v="2081"/>
    <n v="1664.8000000000002"/>
    <n v="416.19999999999982"/>
  </r>
  <r>
    <d v="2008-07-03T00:00:00"/>
    <x v="1"/>
    <x v="6"/>
    <x v="1"/>
    <d v="2008-11-01T00:00:00"/>
    <n v="2092"/>
    <n v="1673.6000000000001"/>
    <n v="418.39999999999986"/>
  </r>
  <r>
    <d v="2008-07-12T00:00:00"/>
    <x v="0"/>
    <x v="12"/>
    <x v="2"/>
    <d v="2008-11-01T00:00:00"/>
    <n v="2103"/>
    <n v="1682.4"/>
    <n v="420.59999999999991"/>
  </r>
  <r>
    <d v="2008-07-21T00:00:00"/>
    <x v="1"/>
    <x v="0"/>
    <x v="0"/>
    <d v="2008-11-01T00:00:00"/>
    <n v="2114"/>
    <n v="1691.2"/>
    <n v="422.79999999999995"/>
  </r>
  <r>
    <d v="2008-07-30T00:00:00"/>
    <x v="0"/>
    <x v="12"/>
    <x v="3"/>
    <d v="2008-11-01T00:00:00"/>
    <n v="2125"/>
    <n v="1700"/>
    <n v="425"/>
  </r>
  <r>
    <d v="2008-08-08T00:00:00"/>
    <x v="1"/>
    <x v="12"/>
    <x v="1"/>
    <d v="2008-12-01T00:00:00"/>
    <n v="2136"/>
    <n v="1708.8000000000002"/>
    <n v="427.19999999999982"/>
  </r>
  <r>
    <d v="2008-08-17T00:00:00"/>
    <x v="0"/>
    <x v="0"/>
    <x v="2"/>
    <d v="2008-12-01T00:00:00"/>
    <n v="2137"/>
    <n v="1709.6000000000001"/>
    <n v="427.39999999999986"/>
  </r>
  <r>
    <d v="2008-08-26T00:00:00"/>
    <x v="1"/>
    <x v="2"/>
    <x v="0"/>
    <d v="2008-12-01T00:00:00"/>
    <n v="2137"/>
    <n v="1709.6000000000001"/>
    <n v="427.39999999999986"/>
  </r>
  <r>
    <d v="2008-09-04T00:00:00"/>
    <x v="0"/>
    <x v="12"/>
    <x v="3"/>
    <d v="2009-01-01T00:00:00"/>
    <n v="2147"/>
    <n v="1717.6000000000001"/>
    <n v="429.39999999999986"/>
  </r>
  <r>
    <d v="2008-09-13T00:00:00"/>
    <x v="1"/>
    <x v="0"/>
    <x v="1"/>
    <d v="2009-01-01T00:00:00"/>
    <n v="2151"/>
    <n v="1720.8000000000002"/>
    <n v="430.19999999999982"/>
  </r>
  <r>
    <d v="2008-09-22T00:00:00"/>
    <x v="0"/>
    <x v="12"/>
    <x v="2"/>
    <d v="2009-01-01T00:00:00"/>
    <n v="2158"/>
    <n v="1726.4"/>
    <n v="431.59999999999991"/>
  </r>
  <r>
    <d v="2008-10-01T00:00:00"/>
    <x v="1"/>
    <x v="12"/>
    <x v="0"/>
    <d v="2009-02-01T00:00:00"/>
    <n v="2169"/>
    <n v="1735.2"/>
    <n v="433.79999999999995"/>
  </r>
  <r>
    <d v="2008-10-10T00:00:00"/>
    <x v="0"/>
    <x v="12"/>
    <x v="3"/>
    <d v="2009-02-01T00:00:00"/>
    <n v="2180"/>
    <n v="1744"/>
    <n v="436"/>
  </r>
  <r>
    <d v="2008-10-19T00:00:00"/>
    <x v="1"/>
    <x v="12"/>
    <x v="1"/>
    <d v="2009-02-01T00:00:00"/>
    <n v="2191"/>
    <n v="1752.8000000000002"/>
    <n v="438.19999999999982"/>
  </r>
  <r>
    <d v="2008-10-28T00:00:00"/>
    <x v="0"/>
    <x v="5"/>
    <x v="2"/>
    <d v="2009-02-01T00:00:00"/>
    <n v="2222"/>
    <n v="1777.6000000000001"/>
    <n v="444.39999999999986"/>
  </r>
  <r>
    <d v="2008-11-06T00:00:00"/>
    <x v="1"/>
    <x v="6"/>
    <x v="0"/>
    <d v="2009-03-01T00:00:00"/>
    <n v="2253"/>
    <n v="1802.4"/>
    <n v="450.59999999999991"/>
  </r>
  <r>
    <d v="2008-11-15T00:00:00"/>
    <x v="0"/>
    <x v="0"/>
    <x v="3"/>
    <d v="2009-03-01T00:00:00"/>
    <n v="2284"/>
    <n v="1827.2"/>
    <n v="456.79999999999995"/>
  </r>
  <r>
    <d v="2008-11-24T00:00:00"/>
    <x v="1"/>
    <x v="9"/>
    <x v="1"/>
    <d v="2009-03-01T00:00:00"/>
    <n v="2315"/>
    <n v="1852"/>
    <n v="463"/>
  </r>
  <r>
    <d v="2008-12-03T00:00:00"/>
    <x v="0"/>
    <x v="8"/>
    <x v="2"/>
    <d v="2009-04-01T00:00:00"/>
    <n v="2346"/>
    <n v="1876.8000000000002"/>
    <n v="469.19999999999982"/>
  </r>
  <r>
    <d v="2008-12-12T00:00:00"/>
    <x v="1"/>
    <x v="7"/>
    <x v="0"/>
    <d v="2009-04-01T00:00:00"/>
    <n v="2377"/>
    <n v="1901.6000000000001"/>
    <n v="475.39999999999986"/>
  </r>
  <r>
    <d v="2008-12-21T00:00:00"/>
    <x v="0"/>
    <x v="1"/>
    <x v="3"/>
    <d v="2009-04-01T00:00:00"/>
    <n v="2408"/>
    <n v="1926.4"/>
    <n v="481.59999999999991"/>
  </r>
  <r>
    <d v="2008-12-30T00:00:00"/>
    <x v="1"/>
    <x v="11"/>
    <x v="1"/>
    <d v="2009-04-01T00:00:00"/>
    <n v="2439"/>
    <n v="1951.2"/>
    <n v="487.79999999999995"/>
  </r>
  <r>
    <d v="2009-01-08T00:00:00"/>
    <x v="0"/>
    <x v="3"/>
    <x v="2"/>
    <d v="2009-05-01T00:00:00"/>
    <n v="2470"/>
    <n v="1976"/>
    <n v="494"/>
  </r>
  <r>
    <d v="2009-01-17T00:00:00"/>
    <x v="1"/>
    <x v="12"/>
    <x v="0"/>
    <d v="2009-05-01T00:00:00"/>
    <n v="2501"/>
    <n v="2000.8000000000002"/>
    <n v="500.19999999999982"/>
  </r>
  <r>
    <d v="2009-01-26T00:00:00"/>
    <x v="0"/>
    <x v="10"/>
    <x v="3"/>
    <d v="2009-05-01T00:00:00"/>
    <n v="2532"/>
    <n v="2025.6000000000001"/>
    <n v="506.39999999999986"/>
  </r>
  <r>
    <d v="2009-02-04T00:00:00"/>
    <x v="1"/>
    <x v="4"/>
    <x v="1"/>
    <d v="2009-06-01T00:00:00"/>
    <n v="2563"/>
    <n v="2050.4"/>
    <n v="512.59999999999991"/>
  </r>
  <r>
    <d v="2009-02-13T00:00:00"/>
    <x v="0"/>
    <x v="2"/>
    <x v="2"/>
    <d v="2009-06-01T00:00:00"/>
    <n v="2594"/>
    <n v="2075.2000000000003"/>
    <n v="518.79999999999973"/>
  </r>
  <r>
    <d v="2009-02-22T00:00:00"/>
    <x v="1"/>
    <x v="5"/>
    <x v="0"/>
    <d v="2009-06-01T00:00:00"/>
    <n v="2625"/>
    <n v="2100"/>
    <n v="525"/>
  </r>
  <r>
    <d v="2009-03-03T00:00:00"/>
    <x v="0"/>
    <x v="6"/>
    <x v="3"/>
    <d v="2009-07-01T00:00:00"/>
    <n v="2656"/>
    <n v="2124.8000000000002"/>
    <n v="531.19999999999982"/>
  </r>
  <r>
    <d v="2009-03-12T00:00:00"/>
    <x v="1"/>
    <x v="0"/>
    <x v="1"/>
    <d v="2009-07-01T00:00:00"/>
    <n v="2687"/>
    <n v="2149.6"/>
    <n v="537.40000000000009"/>
  </r>
  <r>
    <d v="2009-03-21T00:00:00"/>
    <x v="0"/>
    <x v="9"/>
    <x v="2"/>
    <d v="2009-07-01T00:00:00"/>
    <n v="2718"/>
    <n v="2174.4"/>
    <n v="543.59999999999991"/>
  </r>
  <r>
    <d v="2009-03-30T00:00:00"/>
    <x v="1"/>
    <x v="8"/>
    <x v="0"/>
    <d v="2009-07-01T00:00:00"/>
    <n v="2749"/>
    <n v="2199.2000000000003"/>
    <n v="549.79999999999973"/>
  </r>
  <r>
    <d v="2009-04-08T00:00:00"/>
    <x v="0"/>
    <x v="7"/>
    <x v="3"/>
    <d v="2009-08-01T00:00:00"/>
    <n v="2780"/>
    <n v="2224"/>
    <n v="556"/>
  </r>
  <r>
    <d v="2009-04-17T00:00:00"/>
    <x v="1"/>
    <x v="1"/>
    <x v="1"/>
    <d v="2009-08-01T00:00:00"/>
    <n v="2811"/>
    <n v="2248.8000000000002"/>
    <n v="562.19999999999982"/>
  </r>
  <r>
    <d v="2009-04-26T00:00:00"/>
    <x v="0"/>
    <x v="11"/>
    <x v="2"/>
    <d v="2009-08-01T00:00:00"/>
    <n v="2842"/>
    <n v="2273.6"/>
    <n v="568.40000000000009"/>
  </r>
  <r>
    <d v="2009-05-05T00:00:00"/>
    <x v="1"/>
    <x v="3"/>
    <x v="0"/>
    <d v="2009-09-01T00:00:00"/>
    <n v="2873"/>
    <n v="2298.4"/>
    <n v="574.59999999999991"/>
  </r>
  <r>
    <d v="2009-05-14T00:00:00"/>
    <x v="0"/>
    <x v="12"/>
    <x v="3"/>
    <d v="2009-09-01T00:00:00"/>
    <n v="2904"/>
    <n v="2323.2000000000003"/>
    <n v="580.79999999999973"/>
  </r>
  <r>
    <d v="2009-05-23T00:00:00"/>
    <x v="1"/>
    <x v="10"/>
    <x v="1"/>
    <d v="2009-09-01T00:00:00"/>
    <n v="2935"/>
    <n v="2348"/>
    <n v="587"/>
  </r>
  <r>
    <d v="2009-06-01T00:00:00"/>
    <x v="0"/>
    <x v="4"/>
    <x v="2"/>
    <d v="2009-10-01T00:00:00"/>
    <n v="2966"/>
    <n v="2372.8000000000002"/>
    <n v="593.19999999999982"/>
  </r>
  <r>
    <d v="2009-06-10T00:00:00"/>
    <x v="1"/>
    <x v="2"/>
    <x v="0"/>
    <d v="2009-10-01T00:00:00"/>
    <n v="2997"/>
    <n v="2397.6"/>
    <n v="599.40000000000009"/>
  </r>
  <r>
    <d v="2009-06-19T00:00:00"/>
    <x v="0"/>
    <x v="5"/>
    <x v="3"/>
    <d v="2009-10-01T00:00:00"/>
    <n v="3028"/>
    <n v="2422.4"/>
    <n v="605.59999999999991"/>
  </r>
  <r>
    <d v="2009-06-28T00:00:00"/>
    <x v="1"/>
    <x v="6"/>
    <x v="1"/>
    <d v="2009-10-01T00:00:00"/>
    <n v="3059"/>
    <n v="2447.2000000000003"/>
    <n v="611.79999999999973"/>
  </r>
  <r>
    <d v="2009-07-07T00:00:00"/>
    <x v="0"/>
    <x v="0"/>
    <x v="2"/>
    <d v="2009-11-01T00:00:00"/>
    <n v="3090"/>
    <n v="2472"/>
    <n v="618"/>
  </r>
  <r>
    <d v="2009-07-16T00:00:00"/>
    <x v="1"/>
    <x v="9"/>
    <x v="0"/>
    <d v="2009-11-01T00:00:00"/>
    <n v="3121"/>
    <n v="2496.8000000000002"/>
    <n v="624.19999999999982"/>
  </r>
  <r>
    <d v="2009-07-25T00:00:00"/>
    <x v="0"/>
    <x v="8"/>
    <x v="3"/>
    <d v="2009-11-01T00:00:00"/>
    <n v="3152"/>
    <n v="2521.6000000000004"/>
    <n v="630.39999999999964"/>
  </r>
  <r>
    <d v="2008-10-28T00:00:00"/>
    <x v="0"/>
    <x v="0"/>
    <x v="2"/>
    <d v="2009-02-01T00:00:00"/>
    <n v="2193"/>
    <n v="1754.4"/>
    <n v="438.59999999999991"/>
  </r>
  <r>
    <d v="2008-11-06T00:00:00"/>
    <x v="1"/>
    <x v="2"/>
    <x v="0"/>
    <d v="2009-03-01T00:00:00"/>
    <n v="2193"/>
    <n v="1754.4"/>
    <n v="438.59999999999991"/>
  </r>
  <r>
    <d v="2008-11-15T00:00:00"/>
    <x v="0"/>
    <x v="12"/>
    <x v="3"/>
    <d v="2009-03-01T00:00:00"/>
    <n v="2202"/>
    <n v="1761.6000000000001"/>
    <n v="440.39999999999986"/>
  </r>
  <r>
    <d v="2008-11-24T00:00:00"/>
    <x v="1"/>
    <x v="12"/>
    <x v="1"/>
    <d v="2009-03-01T00:00:00"/>
    <n v="2213"/>
    <n v="1770.4"/>
    <n v="442.59999999999991"/>
  </r>
  <r>
    <d v="2008-12-03T00:00:00"/>
    <x v="0"/>
    <x v="12"/>
    <x v="2"/>
    <d v="2009-04-01T00:00:00"/>
    <n v="2224"/>
    <n v="1779.2"/>
    <n v="444.79999999999995"/>
  </r>
  <r>
    <d v="2008-12-12T00:00:00"/>
    <x v="1"/>
    <x v="0"/>
    <x v="0"/>
    <d v="2009-04-01T00:00:00"/>
    <n v="2249"/>
    <n v="1799.2"/>
    <n v="449.79999999999995"/>
  </r>
  <r>
    <d v="2008-12-21T00:00:00"/>
    <x v="0"/>
    <x v="2"/>
    <x v="3"/>
    <d v="2009-04-01T00:00:00"/>
    <n v="2250"/>
    <n v="1800"/>
    <n v="450"/>
  </r>
  <r>
    <d v="2008-05-15T00:00:00"/>
    <x v="0"/>
    <x v="8"/>
    <x v="1"/>
    <d v="2008-09-01T00:00:00"/>
    <n v="2251"/>
    <n v="1800.8000000000002"/>
    <n v="450.19999999999982"/>
  </r>
  <r>
    <d v="2008-05-18T00:00:00"/>
    <x v="0"/>
    <x v="7"/>
    <x v="2"/>
    <d v="2008-09-01T00:00:00"/>
    <n v="2252"/>
    <n v="1801.6000000000001"/>
    <n v="450.39999999999986"/>
  </r>
  <r>
    <d v="2008-05-21T00:00:00"/>
    <x v="0"/>
    <x v="8"/>
    <x v="0"/>
    <d v="2008-09-01T00:00:00"/>
    <n v="2253"/>
    <n v="1802.4"/>
    <n v="450.59999999999991"/>
  </r>
  <r>
    <d v="2008-05-24T00:00:00"/>
    <x v="0"/>
    <x v="7"/>
    <x v="3"/>
    <d v="2008-09-01T00:00:00"/>
    <n v="2254"/>
    <n v="1803.2"/>
    <n v="450.79999999999995"/>
  </r>
  <r>
    <d v="2008-05-27T00:00:00"/>
    <x v="0"/>
    <x v="8"/>
    <x v="1"/>
    <d v="2008-09-01T00:00:00"/>
    <n v="2255"/>
    <n v="1804"/>
    <n v="451"/>
  </r>
  <r>
    <d v="2008-05-30T00:00:00"/>
    <x v="0"/>
    <x v="7"/>
    <x v="2"/>
    <d v="2008-09-01T00:00:00"/>
    <n v="2256"/>
    <n v="1804.8000000000002"/>
    <n v="451.19999999999982"/>
  </r>
  <r>
    <d v="2008-06-02T00:00:00"/>
    <x v="0"/>
    <x v="8"/>
    <x v="0"/>
    <d v="2008-10-01T00:00:00"/>
    <n v="2257"/>
    <n v="1805.6000000000001"/>
    <n v="451.39999999999986"/>
  </r>
  <r>
    <d v="2008-06-05T00:00:00"/>
    <x v="0"/>
    <x v="7"/>
    <x v="3"/>
    <d v="2008-10-01T00:00:00"/>
    <n v="2258"/>
    <n v="1806.4"/>
    <n v="451.5999999999999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ECA9B9-5BDA-4FB7-A3A3-395E87121943}" name="PivotTable2" cacheId="1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14:D29" firstHeaderRow="1" firstDataRow="2" firstDataCol="1"/>
  <pivotFields count="8">
    <pivotField numFmtId="14" showAll="0"/>
    <pivotField axis="axisCol" showAll="0">
      <items count="3">
        <item x="0"/>
        <item x="1"/>
        <item t="default"/>
      </items>
    </pivotField>
    <pivotField axis="axisRow" showAll="0">
      <items count="14">
        <item x="5"/>
        <item x="6"/>
        <item x="0"/>
        <item x="9"/>
        <item x="8"/>
        <item x="7"/>
        <item x="1"/>
        <item x="11"/>
        <item x="3"/>
        <item x="12"/>
        <item x="10"/>
        <item x="4"/>
        <item x="2"/>
        <item t="default"/>
      </items>
    </pivotField>
    <pivotField showAll="0">
      <items count="5">
        <item x="0"/>
        <item x="1"/>
        <item x="2"/>
        <item x="3"/>
        <item t="default"/>
      </items>
    </pivotField>
    <pivotField numFmtId="14" showAll="0"/>
    <pivotField dataField="1" numFmtId="4" showAll="0"/>
    <pivotField showAll="0"/>
    <pivotField numFmtId="4" showAll="0"/>
  </pivotFields>
  <rowFields count="1">
    <field x="2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Sum of סכום מכירה" fld="5" showDataAs="percentOfCol" baseField="2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10958A-F69C-4499-A55D-1E929A7AA08F}" name="PivotTable1" cacheId="1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D9" firstHeaderRow="1" firstDataRow="2" firstDataCol="1"/>
  <pivotFields count="8">
    <pivotField numFmtId="14" showAll="0"/>
    <pivotField axis="axisCol" showAll="0">
      <items count="3">
        <item x="0"/>
        <item x="1"/>
        <item t="default"/>
      </items>
    </pivotField>
    <pivotField showAll="0"/>
    <pivotField axis="axisRow" showAll="0">
      <items count="5">
        <item x="0"/>
        <item x="1"/>
        <item x="2"/>
        <item x="3"/>
        <item t="default"/>
      </items>
    </pivotField>
    <pivotField numFmtId="14" showAll="0"/>
    <pivotField dataField="1" numFmtId="4" showAll="0"/>
    <pivotField showAll="0"/>
    <pivotField numFmtId="4" showAll="0"/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Sum of סכום מכירה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F9216-54C1-4F24-BDE2-0CC4B9793D01}">
  <dimension ref="A3:D29"/>
  <sheetViews>
    <sheetView rightToLeft="1" topLeftCell="A11" workbookViewId="0">
      <selection activeCell="C29" sqref="C29"/>
    </sheetView>
  </sheetViews>
  <sheetFormatPr defaultRowHeight="12.75" x14ac:dyDescent="0.2"/>
  <cols>
    <col min="1" max="1" width="17.28515625" bestFit="1" customWidth="1"/>
    <col min="2" max="2" width="17" bestFit="1" customWidth="1"/>
    <col min="3" max="3" width="16.5703125" customWidth="1"/>
    <col min="4" max="4" width="11.7109375" bestFit="1" customWidth="1"/>
    <col min="5" max="5" width="11.28515625" bestFit="1" customWidth="1"/>
    <col min="6" max="6" width="9.7109375" customWidth="1"/>
    <col min="7" max="7" width="16.7109375" bestFit="1" customWidth="1"/>
    <col min="8" max="8" width="12.5703125" bestFit="1" customWidth="1"/>
    <col min="9" max="9" width="6" bestFit="1" customWidth="1"/>
    <col min="10" max="10" width="15.85546875" bestFit="1" customWidth="1"/>
    <col min="11" max="11" width="14.140625" bestFit="1" customWidth="1"/>
    <col min="12" max="12" width="6" bestFit="1" customWidth="1"/>
    <col min="13" max="13" width="17.5703125" bestFit="1" customWidth="1"/>
    <col min="14" max="14" width="12.85546875" bestFit="1" customWidth="1"/>
    <col min="15" max="15" width="6" bestFit="1" customWidth="1"/>
    <col min="16" max="16" width="16.140625" bestFit="1" customWidth="1"/>
    <col min="17" max="17" width="8.85546875" bestFit="1" customWidth="1"/>
    <col min="18" max="18" width="6" bestFit="1" customWidth="1"/>
    <col min="19" max="19" width="12" bestFit="1" customWidth="1"/>
    <col min="20" max="20" width="14" bestFit="1" customWidth="1"/>
    <col min="21" max="21" width="6" bestFit="1" customWidth="1"/>
    <col min="22" max="22" width="17.42578125" bestFit="1" customWidth="1"/>
    <col min="23" max="23" width="14.85546875" bestFit="1" customWidth="1"/>
    <col min="24" max="24" width="6" bestFit="1" customWidth="1"/>
    <col min="25" max="25" width="18.28515625" bestFit="1" customWidth="1"/>
    <col min="26" max="26" width="14.85546875" bestFit="1" customWidth="1"/>
    <col min="27" max="27" width="6" bestFit="1" customWidth="1"/>
    <col min="28" max="28" width="18.28515625" bestFit="1" customWidth="1"/>
    <col min="29" max="29" width="7.42578125" bestFit="1" customWidth="1"/>
    <col min="30" max="30" width="6" bestFit="1" customWidth="1"/>
    <col min="31" max="31" width="10.5703125" bestFit="1" customWidth="1"/>
    <col min="32" max="32" width="12.7109375" bestFit="1" customWidth="1"/>
    <col min="33" max="33" width="6" bestFit="1" customWidth="1"/>
    <col min="34" max="34" width="16" bestFit="1" customWidth="1"/>
    <col min="35" max="35" width="14" bestFit="1" customWidth="1"/>
    <col min="36" max="36" width="6" bestFit="1" customWidth="1"/>
    <col min="37" max="37" width="17.42578125" bestFit="1" customWidth="1"/>
    <col min="38" max="38" width="11" bestFit="1" customWidth="1"/>
    <col min="39" max="39" width="6" bestFit="1" customWidth="1"/>
    <col min="40" max="40" width="14.28515625" bestFit="1" customWidth="1"/>
    <col min="41" max="41" width="11.7109375" bestFit="1" customWidth="1"/>
  </cols>
  <sheetData>
    <row r="3" spans="1:4" x14ac:dyDescent="0.2">
      <c r="A3" s="8" t="s">
        <v>29</v>
      </c>
      <c r="B3" s="8" t="s">
        <v>30</v>
      </c>
    </row>
    <row r="4" spans="1:4" x14ac:dyDescent="0.2">
      <c r="A4" s="8" t="s">
        <v>27</v>
      </c>
      <c r="B4" t="s">
        <v>13</v>
      </c>
      <c r="C4" t="s">
        <v>14</v>
      </c>
      <c r="D4" t="s">
        <v>28</v>
      </c>
    </row>
    <row r="5" spans="1:4" x14ac:dyDescent="0.2">
      <c r="A5" s="9" t="s">
        <v>6</v>
      </c>
      <c r="B5" s="10">
        <v>7081</v>
      </c>
      <c r="C5" s="10">
        <v>105266</v>
      </c>
      <c r="D5" s="10">
        <v>112347</v>
      </c>
    </row>
    <row r="6" spans="1:4" x14ac:dyDescent="0.2">
      <c r="A6" s="9" t="s">
        <v>8</v>
      </c>
      <c r="B6" s="10">
        <v>5155</v>
      </c>
      <c r="C6" s="10">
        <v>108408</v>
      </c>
      <c r="D6" s="10">
        <v>113563</v>
      </c>
    </row>
    <row r="7" spans="1:4" x14ac:dyDescent="0.2">
      <c r="A7" s="9" t="s">
        <v>7</v>
      </c>
      <c r="B7" s="10">
        <v>137674</v>
      </c>
      <c r="C7" s="10">
        <v>800</v>
      </c>
      <c r="D7" s="10">
        <v>138474</v>
      </c>
    </row>
    <row r="8" spans="1:4" x14ac:dyDescent="0.2">
      <c r="A8" s="9" t="s">
        <v>22</v>
      </c>
      <c r="B8" s="10">
        <v>135026</v>
      </c>
      <c r="C8" s="10">
        <v>2074</v>
      </c>
      <c r="D8" s="10">
        <v>137100</v>
      </c>
    </row>
    <row r="9" spans="1:4" x14ac:dyDescent="0.2">
      <c r="A9" s="9" t="s">
        <v>28</v>
      </c>
      <c r="B9" s="10">
        <v>284936</v>
      </c>
      <c r="C9" s="10">
        <v>216548</v>
      </c>
      <c r="D9" s="10">
        <v>501484</v>
      </c>
    </row>
    <row r="14" spans="1:4" x14ac:dyDescent="0.2">
      <c r="A14" s="8" t="s">
        <v>29</v>
      </c>
      <c r="B14" s="8" t="s">
        <v>30</v>
      </c>
    </row>
    <row r="15" spans="1:4" x14ac:dyDescent="0.2">
      <c r="A15" s="8" t="s">
        <v>27</v>
      </c>
      <c r="B15" t="s">
        <v>13</v>
      </c>
      <c r="C15" t="s">
        <v>14</v>
      </c>
      <c r="D15" t="s">
        <v>28</v>
      </c>
    </row>
    <row r="16" spans="1:4" x14ac:dyDescent="0.2">
      <c r="A16" s="9" t="s">
        <v>15</v>
      </c>
      <c r="B16" s="11">
        <v>4.5322458376617906E-2</v>
      </c>
      <c r="C16" s="11">
        <v>7.3803498531503406E-2</v>
      </c>
      <c r="D16" s="11">
        <v>5.7620980928603904E-2</v>
      </c>
    </row>
    <row r="17" spans="1:4" x14ac:dyDescent="0.2">
      <c r="A17" s="9" t="s">
        <v>17</v>
      </c>
      <c r="B17" s="11">
        <v>0.16846590111463627</v>
      </c>
      <c r="C17" s="11">
        <v>6.2309511055285663E-2</v>
      </c>
      <c r="D17" s="11">
        <v>0.12262604589578133</v>
      </c>
    </row>
    <row r="18" spans="1:4" x14ac:dyDescent="0.2">
      <c r="A18" s="9" t="s">
        <v>4</v>
      </c>
      <c r="B18" s="11">
        <v>0.16632506948928882</v>
      </c>
      <c r="C18" s="11">
        <v>0.13699041321092784</v>
      </c>
      <c r="D18" s="11">
        <v>0.15365794322450965</v>
      </c>
    </row>
    <row r="19" spans="1:4" x14ac:dyDescent="0.2">
      <c r="A19" s="9" t="s">
        <v>18</v>
      </c>
      <c r="B19" s="11">
        <v>4.1384732009995227E-2</v>
      </c>
      <c r="C19" s="11">
        <v>7.1679258178325364E-2</v>
      </c>
      <c r="D19" s="11">
        <v>5.4466343891330531E-2</v>
      </c>
    </row>
    <row r="20" spans="1:4" x14ac:dyDescent="0.2">
      <c r="A20" s="9" t="s">
        <v>11</v>
      </c>
      <c r="B20" s="11">
        <v>5.0937754443103014E-2</v>
      </c>
      <c r="C20" s="11">
        <v>8.2055710512218993E-2</v>
      </c>
      <c r="D20" s="11">
        <v>6.4374935192349103E-2</v>
      </c>
    </row>
    <row r="21" spans="1:4" x14ac:dyDescent="0.2">
      <c r="A21" s="9" t="s">
        <v>21</v>
      </c>
      <c r="B21" s="11">
        <v>4.1412808490327656E-2</v>
      </c>
      <c r="C21" s="11">
        <v>4.646544876886418E-2</v>
      </c>
      <c r="D21" s="11">
        <v>4.3594611193976278E-2</v>
      </c>
    </row>
    <row r="22" spans="1:4" x14ac:dyDescent="0.2">
      <c r="A22" s="9" t="s">
        <v>10</v>
      </c>
      <c r="B22" s="11">
        <v>5.6904006513743437E-2</v>
      </c>
      <c r="C22" s="11">
        <v>8.3745866967138927E-2</v>
      </c>
      <c r="D22" s="11">
        <v>6.8494707707524069E-2</v>
      </c>
    </row>
    <row r="23" spans="1:4" x14ac:dyDescent="0.2">
      <c r="A23" s="9" t="s">
        <v>16</v>
      </c>
      <c r="B23" s="11">
        <v>5.7005783754948483E-2</v>
      </c>
      <c r="C23" s="11">
        <v>4.6553189131278053E-2</v>
      </c>
      <c r="D23" s="11">
        <v>5.2492203141077283E-2</v>
      </c>
    </row>
    <row r="24" spans="1:4" x14ac:dyDescent="0.2">
      <c r="A24" s="9" t="s">
        <v>19</v>
      </c>
      <c r="B24" s="11">
        <v>0.14956692029087235</v>
      </c>
      <c r="C24" s="11">
        <v>5.6038384099599166E-2</v>
      </c>
      <c r="D24" s="11">
        <v>0.1091799538968342</v>
      </c>
    </row>
    <row r="25" spans="1:4" x14ac:dyDescent="0.2">
      <c r="A25" s="9" t="s">
        <v>2</v>
      </c>
      <c r="B25" s="11">
        <v>6.3322991829744227E-2</v>
      </c>
      <c r="C25" s="11">
        <v>5.1766813824186783E-2</v>
      </c>
      <c r="D25" s="11">
        <v>5.8332868047634621E-2</v>
      </c>
    </row>
    <row r="26" spans="1:4" x14ac:dyDescent="0.2">
      <c r="A26" s="9" t="s">
        <v>9</v>
      </c>
      <c r="B26" s="11">
        <v>4.5719038661313417E-2</v>
      </c>
      <c r="C26" s="11">
        <v>6.222177069287179E-2</v>
      </c>
      <c r="D26" s="11">
        <v>5.284515557824377E-2</v>
      </c>
    </row>
    <row r="27" spans="1:4" x14ac:dyDescent="0.2">
      <c r="A27" s="9" t="s">
        <v>3</v>
      </c>
      <c r="B27" s="11">
        <v>3.440421708734593E-2</v>
      </c>
      <c r="C27" s="11">
        <v>9.8564752387461443E-2</v>
      </c>
      <c r="D27" s="11">
        <v>6.2109658533472653E-2</v>
      </c>
    </row>
    <row r="28" spans="1:4" x14ac:dyDescent="0.2">
      <c r="A28" s="9" t="s">
        <v>20</v>
      </c>
      <c r="B28" s="11">
        <v>7.9228317938063286E-2</v>
      </c>
      <c r="C28" s="11">
        <v>0.12780538264033839</v>
      </c>
      <c r="D28" s="11">
        <v>0.10020459276866261</v>
      </c>
    </row>
    <row r="29" spans="1:4" x14ac:dyDescent="0.2">
      <c r="A29" s="9" t="s">
        <v>28</v>
      </c>
      <c r="B29" s="11">
        <v>1</v>
      </c>
      <c r="C29" s="11">
        <v>1</v>
      </c>
      <c r="D29" s="11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319"/>
  <sheetViews>
    <sheetView rightToLeft="1" tabSelected="1" workbookViewId="0">
      <selection activeCell="F7" sqref="F7"/>
    </sheetView>
  </sheetViews>
  <sheetFormatPr defaultRowHeight="12.75" x14ac:dyDescent="0.2"/>
  <cols>
    <col min="1" max="1" width="11.28515625" bestFit="1" customWidth="1"/>
    <col min="2" max="2" width="4.7109375" bestFit="1" customWidth="1"/>
    <col min="3" max="3" width="12.5703125" bestFit="1" customWidth="1"/>
    <col min="4" max="4" width="11.28515625" bestFit="1" customWidth="1"/>
    <col min="5" max="5" width="11.28515625" customWidth="1"/>
    <col min="6" max="6" width="14.5703125" customWidth="1"/>
    <col min="7" max="7" width="10.5703125" bestFit="1" customWidth="1"/>
    <col min="8" max="8" width="10.28515625" bestFit="1" customWidth="1"/>
  </cols>
  <sheetData>
    <row r="1" spans="1:9" s="4" customFormat="1" x14ac:dyDescent="0.2">
      <c r="A1" s="5" t="s">
        <v>25</v>
      </c>
      <c r="B1" s="5" t="s">
        <v>12</v>
      </c>
      <c r="C1" s="5" t="s">
        <v>0</v>
      </c>
      <c r="D1" s="5" t="s">
        <v>5</v>
      </c>
      <c r="E1" s="5" t="s">
        <v>26</v>
      </c>
      <c r="F1" s="5" t="s">
        <v>1</v>
      </c>
      <c r="G1" s="5" t="s">
        <v>23</v>
      </c>
      <c r="H1" s="5" t="s">
        <v>24</v>
      </c>
    </row>
    <row r="2" spans="1:9" x14ac:dyDescent="0.2">
      <c r="A2" s="2">
        <v>38353</v>
      </c>
      <c r="B2" s="2" t="s">
        <v>13</v>
      </c>
      <c r="C2" s="1" t="s">
        <v>4</v>
      </c>
      <c r="D2" s="1" t="s">
        <v>6</v>
      </c>
      <c r="E2" s="2">
        <f>DATE(YEAR(A2),MONTH(A2)+4,1)</f>
        <v>38473</v>
      </c>
      <c r="F2" s="3">
        <v>123</v>
      </c>
      <c r="G2" s="1">
        <f>F2*0.8</f>
        <v>98.4</v>
      </c>
      <c r="H2" s="3">
        <f>F2-G2</f>
        <v>24.599999999999994</v>
      </c>
    </row>
    <row r="3" spans="1:9" x14ac:dyDescent="0.2">
      <c r="A3" s="2">
        <v>38354</v>
      </c>
      <c r="B3" s="2" t="s">
        <v>14</v>
      </c>
      <c r="C3" s="1" t="s">
        <v>10</v>
      </c>
      <c r="D3" s="1" t="s">
        <v>8</v>
      </c>
      <c r="E3" s="2">
        <f t="shared" ref="E3:E82" si="0">DATE(YEAR(A3),MONTH(A3)+4,1)</f>
        <v>38473</v>
      </c>
      <c r="F3" s="3">
        <v>647</v>
      </c>
      <c r="G3" s="1">
        <f t="shared" ref="G3:G86" si="1">F3*0.8</f>
        <v>517.6</v>
      </c>
      <c r="H3" s="3">
        <f t="shared" ref="H3:H86" si="2">F3-G3</f>
        <v>129.39999999999998</v>
      </c>
    </row>
    <row r="4" spans="1:9" x14ac:dyDescent="0.2">
      <c r="A4" s="2">
        <v>38356</v>
      </c>
      <c r="B4" s="2" t="s">
        <v>13</v>
      </c>
      <c r="C4" s="1" t="s">
        <v>4</v>
      </c>
      <c r="D4" s="1" t="s">
        <v>6</v>
      </c>
      <c r="E4" s="2">
        <f t="shared" si="0"/>
        <v>38473</v>
      </c>
      <c r="F4" s="3">
        <v>2305</v>
      </c>
      <c r="G4" s="1">
        <f t="shared" si="1"/>
        <v>1844</v>
      </c>
      <c r="H4" s="3">
        <f t="shared" si="2"/>
        <v>461</v>
      </c>
    </row>
    <row r="5" spans="1:9" x14ac:dyDescent="0.2">
      <c r="A5" s="2">
        <v>38362</v>
      </c>
      <c r="B5" s="2" t="s">
        <v>14</v>
      </c>
      <c r="C5" s="1" t="s">
        <v>4</v>
      </c>
      <c r="D5" s="1" t="s">
        <v>6</v>
      </c>
      <c r="E5" s="2">
        <f t="shared" si="0"/>
        <v>38473</v>
      </c>
      <c r="F5" s="3">
        <v>133</v>
      </c>
      <c r="G5" s="1">
        <f t="shared" si="1"/>
        <v>106.4</v>
      </c>
      <c r="H5" s="3">
        <f t="shared" si="2"/>
        <v>26.599999999999994</v>
      </c>
    </row>
    <row r="6" spans="1:9" x14ac:dyDescent="0.2">
      <c r="A6" s="2">
        <v>38363</v>
      </c>
      <c r="B6" s="2" t="s">
        <v>13</v>
      </c>
      <c r="C6" s="1" t="s">
        <v>10</v>
      </c>
      <c r="D6" s="1" t="s">
        <v>8</v>
      </c>
      <c r="E6" s="2">
        <f t="shared" si="0"/>
        <v>38473</v>
      </c>
      <c r="F6" s="3">
        <v>649</v>
      </c>
      <c r="G6" s="1">
        <f t="shared" si="1"/>
        <v>519.20000000000005</v>
      </c>
      <c r="H6" s="3">
        <f t="shared" si="2"/>
        <v>129.79999999999995</v>
      </c>
    </row>
    <row r="7" spans="1:9" x14ac:dyDescent="0.2">
      <c r="A7" s="2">
        <v>38367</v>
      </c>
      <c r="B7" s="2" t="s">
        <v>14</v>
      </c>
      <c r="C7" s="1" t="s">
        <v>20</v>
      </c>
      <c r="D7" s="1" t="s">
        <v>6</v>
      </c>
      <c r="E7" s="2">
        <f t="shared" si="0"/>
        <v>38473</v>
      </c>
      <c r="F7" s="3">
        <v>2305</v>
      </c>
      <c r="G7" s="1">
        <f t="shared" si="1"/>
        <v>1844</v>
      </c>
      <c r="H7" s="3">
        <f t="shared" si="2"/>
        <v>461</v>
      </c>
    </row>
    <row r="8" spans="1:9" x14ac:dyDescent="0.2">
      <c r="A8" s="2">
        <v>38371</v>
      </c>
      <c r="B8" s="2" t="s">
        <v>13</v>
      </c>
      <c r="C8" s="1" t="s">
        <v>4</v>
      </c>
      <c r="D8" s="1" t="s">
        <v>6</v>
      </c>
      <c r="E8" s="2">
        <f t="shared" si="0"/>
        <v>38473</v>
      </c>
      <c r="F8" s="3">
        <v>143</v>
      </c>
      <c r="G8" s="1">
        <f t="shared" si="1"/>
        <v>114.4</v>
      </c>
      <c r="H8" s="3">
        <f t="shared" si="2"/>
        <v>28.599999999999994</v>
      </c>
    </row>
    <row r="9" spans="1:9" x14ac:dyDescent="0.2">
      <c r="A9" s="2">
        <v>38372</v>
      </c>
      <c r="B9" s="2" t="s">
        <v>14</v>
      </c>
      <c r="C9" s="1" t="s">
        <v>10</v>
      </c>
      <c r="D9" s="1" t="s">
        <v>8</v>
      </c>
      <c r="E9" s="2">
        <f t="shared" si="0"/>
        <v>38473</v>
      </c>
      <c r="F9" s="3">
        <v>651</v>
      </c>
      <c r="G9" s="1">
        <f t="shared" si="1"/>
        <v>520.80000000000007</v>
      </c>
      <c r="H9" s="3">
        <f t="shared" si="2"/>
        <v>130.19999999999993</v>
      </c>
    </row>
    <row r="10" spans="1:9" x14ac:dyDescent="0.2">
      <c r="A10" s="2">
        <v>38378</v>
      </c>
      <c r="B10" s="2" t="s">
        <v>13</v>
      </c>
      <c r="C10" s="1" t="s">
        <v>4</v>
      </c>
      <c r="D10" s="1" t="s">
        <v>7</v>
      </c>
      <c r="E10" s="2">
        <f t="shared" si="0"/>
        <v>38473</v>
      </c>
      <c r="F10" s="3">
        <v>2309</v>
      </c>
      <c r="G10" s="1">
        <f t="shared" si="1"/>
        <v>1847.2</v>
      </c>
      <c r="H10" s="3">
        <f t="shared" si="2"/>
        <v>461.79999999999995</v>
      </c>
    </row>
    <row r="11" spans="1:9" x14ac:dyDescent="0.2">
      <c r="A11" s="2">
        <v>38380</v>
      </c>
      <c r="B11" s="2" t="s">
        <v>14</v>
      </c>
      <c r="C11" s="1" t="s">
        <v>4</v>
      </c>
      <c r="D11" s="1" t="s">
        <v>6</v>
      </c>
      <c r="E11" s="2">
        <f t="shared" si="0"/>
        <v>38473</v>
      </c>
      <c r="F11" s="3">
        <v>153</v>
      </c>
      <c r="G11" s="1">
        <f t="shared" si="1"/>
        <v>122.4</v>
      </c>
      <c r="H11" s="3">
        <f t="shared" si="2"/>
        <v>30.599999999999994</v>
      </c>
      <c r="I11" s="4"/>
    </row>
    <row r="12" spans="1:9" x14ac:dyDescent="0.2">
      <c r="A12" s="2">
        <v>38381</v>
      </c>
      <c r="B12" s="2" t="s">
        <v>13</v>
      </c>
      <c r="C12" s="1" t="s">
        <v>10</v>
      </c>
      <c r="D12" s="1" t="s">
        <v>22</v>
      </c>
      <c r="E12" s="2">
        <f t="shared" si="0"/>
        <v>38473</v>
      </c>
      <c r="F12" s="3">
        <v>653</v>
      </c>
      <c r="G12" s="1">
        <f t="shared" si="1"/>
        <v>522.4</v>
      </c>
      <c r="H12" s="3">
        <f t="shared" si="2"/>
        <v>130.60000000000002</v>
      </c>
    </row>
    <row r="13" spans="1:9" x14ac:dyDescent="0.2">
      <c r="A13" s="2">
        <v>38389</v>
      </c>
      <c r="B13" s="2" t="s">
        <v>14</v>
      </c>
      <c r="C13" s="1" t="s">
        <v>4</v>
      </c>
      <c r="D13" s="1" t="s">
        <v>8</v>
      </c>
      <c r="E13" s="2">
        <f t="shared" si="0"/>
        <v>38504</v>
      </c>
      <c r="F13" s="3">
        <v>163</v>
      </c>
      <c r="G13" s="1">
        <f t="shared" si="1"/>
        <v>130.4</v>
      </c>
      <c r="H13" s="3">
        <f t="shared" si="2"/>
        <v>32.599999999999994</v>
      </c>
    </row>
    <row r="14" spans="1:9" x14ac:dyDescent="0.2">
      <c r="A14" s="2">
        <v>38397</v>
      </c>
      <c r="B14" s="2" t="s">
        <v>14</v>
      </c>
      <c r="C14" s="1" t="s">
        <v>19</v>
      </c>
      <c r="D14" s="1" t="s">
        <v>7</v>
      </c>
      <c r="E14" s="2">
        <f t="shared" si="0"/>
        <v>38504</v>
      </c>
      <c r="F14" s="3">
        <v>800</v>
      </c>
      <c r="G14" s="1">
        <f t="shared" si="1"/>
        <v>640</v>
      </c>
      <c r="H14" s="3">
        <f t="shared" si="2"/>
        <v>160</v>
      </c>
    </row>
    <row r="15" spans="1:9" x14ac:dyDescent="0.2">
      <c r="A15" s="2">
        <v>38405</v>
      </c>
      <c r="B15" s="2" t="s">
        <v>14</v>
      </c>
      <c r="C15" s="1" t="s">
        <v>19</v>
      </c>
      <c r="D15" s="1" t="s">
        <v>6</v>
      </c>
      <c r="E15" s="2">
        <f t="shared" si="0"/>
        <v>38504</v>
      </c>
      <c r="F15" s="3">
        <v>1437</v>
      </c>
      <c r="G15" s="1">
        <f t="shared" si="1"/>
        <v>1149.6000000000001</v>
      </c>
      <c r="H15" s="3">
        <f t="shared" si="2"/>
        <v>287.39999999999986</v>
      </c>
    </row>
    <row r="16" spans="1:9" x14ac:dyDescent="0.2">
      <c r="A16" s="2">
        <v>38413</v>
      </c>
      <c r="B16" s="2" t="s">
        <v>14</v>
      </c>
      <c r="C16" s="1" t="s">
        <v>19</v>
      </c>
      <c r="D16" s="1" t="s">
        <v>22</v>
      </c>
      <c r="E16" s="2">
        <f t="shared" si="0"/>
        <v>38534</v>
      </c>
      <c r="F16" s="3">
        <v>2074</v>
      </c>
      <c r="G16" s="1">
        <f t="shared" si="1"/>
        <v>1659.2</v>
      </c>
      <c r="H16" s="3">
        <f t="shared" si="2"/>
        <v>414.79999999999995</v>
      </c>
    </row>
    <row r="17" spans="1:8" x14ac:dyDescent="0.2">
      <c r="A17" s="2">
        <v>38421</v>
      </c>
      <c r="B17" s="2" t="s">
        <v>14</v>
      </c>
      <c r="C17" s="1" t="s">
        <v>19</v>
      </c>
      <c r="D17" s="1" t="s">
        <v>8</v>
      </c>
      <c r="E17" s="2">
        <f t="shared" si="0"/>
        <v>38534</v>
      </c>
      <c r="F17" s="3">
        <v>2711</v>
      </c>
      <c r="G17" s="1">
        <f t="shared" si="1"/>
        <v>2168.8000000000002</v>
      </c>
      <c r="H17" s="3">
        <f t="shared" si="2"/>
        <v>542.19999999999982</v>
      </c>
    </row>
    <row r="18" spans="1:8" x14ac:dyDescent="0.2">
      <c r="A18" s="2">
        <v>38389</v>
      </c>
      <c r="B18" s="2" t="s">
        <v>13</v>
      </c>
      <c r="C18" s="1" t="s">
        <v>19</v>
      </c>
      <c r="D18" s="1" t="s">
        <v>7</v>
      </c>
      <c r="E18" s="2">
        <f t="shared" si="0"/>
        <v>38504</v>
      </c>
      <c r="F18" s="3">
        <v>2361</v>
      </c>
      <c r="G18" s="1">
        <f t="shared" si="1"/>
        <v>1888.8000000000002</v>
      </c>
      <c r="H18" s="3">
        <f t="shared" si="2"/>
        <v>472.19999999999982</v>
      </c>
    </row>
    <row r="19" spans="1:8" x14ac:dyDescent="0.2">
      <c r="A19" s="2">
        <v>38390</v>
      </c>
      <c r="B19" s="2" t="s">
        <v>14</v>
      </c>
      <c r="C19" s="1" t="s">
        <v>10</v>
      </c>
      <c r="D19" s="1" t="s">
        <v>6</v>
      </c>
      <c r="E19" s="2">
        <f t="shared" si="0"/>
        <v>38504</v>
      </c>
      <c r="F19" s="3">
        <v>655</v>
      </c>
      <c r="G19" s="1">
        <f t="shared" si="1"/>
        <v>524</v>
      </c>
      <c r="H19" s="3">
        <f t="shared" si="2"/>
        <v>131</v>
      </c>
    </row>
    <row r="20" spans="1:8" x14ac:dyDescent="0.2">
      <c r="A20" s="2">
        <v>38398</v>
      </c>
      <c r="B20" s="2" t="s">
        <v>13</v>
      </c>
      <c r="C20" s="1" t="s">
        <v>4</v>
      </c>
      <c r="D20" s="1" t="s">
        <v>22</v>
      </c>
      <c r="E20" s="2">
        <f t="shared" si="0"/>
        <v>38504</v>
      </c>
      <c r="F20" s="3">
        <v>466</v>
      </c>
      <c r="G20" s="1">
        <f t="shared" si="1"/>
        <v>372.8</v>
      </c>
      <c r="H20" s="3">
        <f t="shared" si="2"/>
        <v>93.199999999999989</v>
      </c>
    </row>
    <row r="21" spans="1:8" x14ac:dyDescent="0.2">
      <c r="A21" s="2">
        <v>38399</v>
      </c>
      <c r="B21" s="2" t="s">
        <v>14</v>
      </c>
      <c r="C21" s="1" t="s">
        <v>10</v>
      </c>
      <c r="D21" s="1" t="s">
        <v>8</v>
      </c>
      <c r="E21" s="2">
        <f t="shared" si="0"/>
        <v>38504</v>
      </c>
      <c r="F21" s="3">
        <v>657</v>
      </c>
      <c r="G21" s="1">
        <f t="shared" si="1"/>
        <v>525.6</v>
      </c>
      <c r="H21" s="3">
        <f t="shared" si="2"/>
        <v>131.39999999999998</v>
      </c>
    </row>
    <row r="22" spans="1:8" x14ac:dyDescent="0.2">
      <c r="A22" s="2">
        <v>38400</v>
      </c>
      <c r="B22" s="2" t="s">
        <v>13</v>
      </c>
      <c r="C22" s="1" t="s">
        <v>20</v>
      </c>
      <c r="D22" s="1" t="s">
        <v>7</v>
      </c>
      <c r="E22" s="2">
        <f t="shared" si="0"/>
        <v>38504</v>
      </c>
      <c r="F22" s="3">
        <v>2361</v>
      </c>
      <c r="G22" s="1">
        <f t="shared" si="1"/>
        <v>1888.8000000000002</v>
      </c>
      <c r="H22" s="3">
        <f t="shared" si="2"/>
        <v>472.19999999999982</v>
      </c>
    </row>
    <row r="23" spans="1:8" x14ac:dyDescent="0.2">
      <c r="A23" s="2">
        <v>38407</v>
      </c>
      <c r="B23" s="2" t="s">
        <v>14</v>
      </c>
      <c r="C23" s="1" t="s">
        <v>20</v>
      </c>
      <c r="D23" s="1" t="s">
        <v>6</v>
      </c>
      <c r="E23" s="2">
        <f t="shared" si="0"/>
        <v>38504</v>
      </c>
      <c r="F23" s="3">
        <v>466</v>
      </c>
      <c r="G23" s="1">
        <f t="shared" si="1"/>
        <v>372.8</v>
      </c>
      <c r="H23" s="3">
        <f t="shared" si="2"/>
        <v>93.199999999999989</v>
      </c>
    </row>
    <row r="24" spans="1:8" x14ac:dyDescent="0.2">
      <c r="A24" s="2">
        <v>38408</v>
      </c>
      <c r="B24" s="2" t="s">
        <v>13</v>
      </c>
      <c r="C24" s="1" t="s">
        <v>10</v>
      </c>
      <c r="D24" s="1" t="s">
        <v>22</v>
      </c>
      <c r="E24" s="2">
        <f t="shared" si="0"/>
        <v>38504</v>
      </c>
      <c r="F24" s="3">
        <v>659</v>
      </c>
      <c r="G24" s="1">
        <f t="shared" si="1"/>
        <v>527.20000000000005</v>
      </c>
      <c r="H24" s="3">
        <f t="shared" si="2"/>
        <v>131.79999999999995</v>
      </c>
    </row>
    <row r="25" spans="1:8" x14ac:dyDescent="0.2">
      <c r="A25" s="2">
        <v>38411</v>
      </c>
      <c r="B25" s="2" t="s">
        <v>14</v>
      </c>
      <c r="C25" s="1" t="s">
        <v>20</v>
      </c>
      <c r="D25" s="1" t="s">
        <v>8</v>
      </c>
      <c r="E25" s="2">
        <f t="shared" si="0"/>
        <v>38504</v>
      </c>
      <c r="F25" s="3">
        <v>2417</v>
      </c>
      <c r="G25" s="1">
        <f t="shared" si="1"/>
        <v>1933.6000000000001</v>
      </c>
      <c r="H25" s="3">
        <f t="shared" si="2"/>
        <v>483.39999999999986</v>
      </c>
    </row>
    <row r="26" spans="1:8" x14ac:dyDescent="0.2">
      <c r="A26" s="2">
        <v>38415</v>
      </c>
      <c r="B26" s="2" t="s">
        <v>13</v>
      </c>
      <c r="C26" s="1" t="s">
        <v>19</v>
      </c>
      <c r="D26" s="1" t="s">
        <v>7</v>
      </c>
      <c r="E26" s="2">
        <f t="shared" si="0"/>
        <v>38534</v>
      </c>
      <c r="F26" s="3">
        <v>556</v>
      </c>
      <c r="G26" s="1">
        <f t="shared" si="1"/>
        <v>444.8</v>
      </c>
      <c r="H26" s="3">
        <f t="shared" si="2"/>
        <v>111.19999999999999</v>
      </c>
    </row>
    <row r="27" spans="1:8" x14ac:dyDescent="0.2">
      <c r="A27" s="2">
        <v>38416</v>
      </c>
      <c r="B27" s="2" t="s">
        <v>14</v>
      </c>
      <c r="C27" s="1" t="s">
        <v>10</v>
      </c>
      <c r="D27" s="1" t="s">
        <v>6</v>
      </c>
      <c r="E27" s="2">
        <f t="shared" si="0"/>
        <v>38534</v>
      </c>
      <c r="F27" s="3">
        <v>661</v>
      </c>
      <c r="G27" s="1">
        <f t="shared" si="1"/>
        <v>528.80000000000007</v>
      </c>
      <c r="H27" s="3">
        <f t="shared" si="2"/>
        <v>132.19999999999993</v>
      </c>
    </row>
    <row r="28" spans="1:8" x14ac:dyDescent="0.2">
      <c r="A28" s="2">
        <v>38421</v>
      </c>
      <c r="B28" s="2" t="s">
        <v>13</v>
      </c>
      <c r="C28" s="1" t="s">
        <v>20</v>
      </c>
      <c r="D28" s="1" t="s">
        <v>22</v>
      </c>
      <c r="E28" s="2">
        <f t="shared" si="0"/>
        <v>38534</v>
      </c>
      <c r="F28" s="3">
        <v>2417</v>
      </c>
      <c r="G28" s="1">
        <f t="shared" si="1"/>
        <v>1933.6000000000001</v>
      </c>
      <c r="H28" s="3">
        <f t="shared" si="2"/>
        <v>483.39999999999986</v>
      </c>
    </row>
    <row r="29" spans="1:8" x14ac:dyDescent="0.2">
      <c r="A29" s="2">
        <v>38424</v>
      </c>
      <c r="B29" s="2" t="s">
        <v>14</v>
      </c>
      <c r="C29" s="1" t="s">
        <v>20</v>
      </c>
      <c r="D29" s="1" t="s">
        <v>8</v>
      </c>
      <c r="E29" s="2">
        <f t="shared" si="0"/>
        <v>38534</v>
      </c>
      <c r="F29" s="3">
        <v>556</v>
      </c>
      <c r="G29" s="1">
        <f t="shared" si="1"/>
        <v>444.8</v>
      </c>
      <c r="H29" s="3">
        <f t="shared" si="2"/>
        <v>111.19999999999999</v>
      </c>
    </row>
    <row r="30" spans="1:8" x14ac:dyDescent="0.2">
      <c r="A30" s="2">
        <v>38425</v>
      </c>
      <c r="B30" s="2" t="s">
        <v>13</v>
      </c>
      <c r="C30" s="1" t="s">
        <v>10</v>
      </c>
      <c r="D30" s="1" t="s">
        <v>7</v>
      </c>
      <c r="E30" s="2">
        <f t="shared" si="0"/>
        <v>38534</v>
      </c>
      <c r="F30" s="3">
        <v>663</v>
      </c>
      <c r="G30" s="1">
        <f t="shared" si="1"/>
        <v>530.4</v>
      </c>
      <c r="H30" s="3">
        <f t="shared" si="2"/>
        <v>132.60000000000002</v>
      </c>
    </row>
    <row r="31" spans="1:8" x14ac:dyDescent="0.2">
      <c r="A31" s="2">
        <v>38432</v>
      </c>
      <c r="B31" s="2" t="s">
        <v>14</v>
      </c>
      <c r="C31" s="1" t="s">
        <v>4</v>
      </c>
      <c r="D31" s="1" t="s">
        <v>6</v>
      </c>
      <c r="E31" s="2">
        <f t="shared" si="0"/>
        <v>38534</v>
      </c>
      <c r="F31" s="3">
        <v>2466</v>
      </c>
      <c r="G31" s="1">
        <f t="shared" si="1"/>
        <v>1972.8000000000002</v>
      </c>
      <c r="H31" s="3">
        <f t="shared" si="2"/>
        <v>493.19999999999982</v>
      </c>
    </row>
    <row r="32" spans="1:8" x14ac:dyDescent="0.2">
      <c r="A32" s="2">
        <v>38433</v>
      </c>
      <c r="B32" s="2" t="s">
        <v>13</v>
      </c>
      <c r="C32" s="1" t="s">
        <v>3</v>
      </c>
      <c r="D32" s="1" t="s">
        <v>22</v>
      </c>
      <c r="E32" s="2">
        <f t="shared" si="0"/>
        <v>38534</v>
      </c>
      <c r="F32" s="3">
        <v>561</v>
      </c>
      <c r="G32" s="1">
        <f t="shared" si="1"/>
        <v>448.8</v>
      </c>
      <c r="H32" s="3">
        <f t="shared" si="2"/>
        <v>112.19999999999999</v>
      </c>
    </row>
    <row r="33" spans="1:8" x14ac:dyDescent="0.2">
      <c r="A33" s="2">
        <v>38434</v>
      </c>
      <c r="B33" s="2" t="s">
        <v>14</v>
      </c>
      <c r="C33" s="1" t="s">
        <v>10</v>
      </c>
      <c r="D33" s="1" t="s">
        <v>8</v>
      </c>
      <c r="E33" s="2">
        <f t="shared" si="0"/>
        <v>38534</v>
      </c>
      <c r="F33" s="3">
        <v>665</v>
      </c>
      <c r="G33" s="1">
        <f t="shared" si="1"/>
        <v>532</v>
      </c>
      <c r="H33" s="3">
        <f t="shared" si="2"/>
        <v>133</v>
      </c>
    </row>
    <row r="34" spans="1:8" x14ac:dyDescent="0.2">
      <c r="A34" s="2">
        <v>38442</v>
      </c>
      <c r="B34" s="2" t="s">
        <v>13</v>
      </c>
      <c r="C34" s="1" t="s">
        <v>3</v>
      </c>
      <c r="D34" s="1" t="s">
        <v>7</v>
      </c>
      <c r="E34" s="2">
        <f t="shared" si="0"/>
        <v>38534</v>
      </c>
      <c r="F34" s="3">
        <v>561</v>
      </c>
      <c r="G34" s="1">
        <f t="shared" si="1"/>
        <v>448.8</v>
      </c>
      <c r="H34" s="3">
        <f t="shared" si="2"/>
        <v>112.19999999999999</v>
      </c>
    </row>
    <row r="35" spans="1:8" x14ac:dyDescent="0.2">
      <c r="A35" s="2">
        <v>38443</v>
      </c>
      <c r="B35" s="2" t="s">
        <v>14</v>
      </c>
      <c r="C35" s="1" t="s">
        <v>10</v>
      </c>
      <c r="D35" s="1" t="s">
        <v>6</v>
      </c>
      <c r="E35" s="2">
        <f t="shared" si="0"/>
        <v>38565</v>
      </c>
      <c r="F35" s="3">
        <v>667</v>
      </c>
      <c r="G35" s="1">
        <f t="shared" si="1"/>
        <v>533.6</v>
      </c>
      <c r="H35" s="3">
        <f t="shared" si="2"/>
        <v>133.39999999999998</v>
      </c>
    </row>
    <row r="36" spans="1:8" x14ac:dyDescent="0.2">
      <c r="A36" s="2">
        <v>38443</v>
      </c>
      <c r="B36" s="2" t="s">
        <v>13</v>
      </c>
      <c r="C36" s="1" t="s">
        <v>19</v>
      </c>
      <c r="D36" s="1" t="s">
        <v>22</v>
      </c>
      <c r="E36" s="2">
        <f t="shared" si="0"/>
        <v>38565</v>
      </c>
      <c r="F36" s="3">
        <v>2473</v>
      </c>
      <c r="G36" s="1">
        <f t="shared" si="1"/>
        <v>1978.4</v>
      </c>
      <c r="H36" s="3">
        <f t="shared" si="2"/>
        <v>494.59999999999991</v>
      </c>
    </row>
    <row r="37" spans="1:8" x14ac:dyDescent="0.2">
      <c r="A37" s="2">
        <v>38451</v>
      </c>
      <c r="B37" s="2" t="s">
        <v>14</v>
      </c>
      <c r="C37" s="1" t="s">
        <v>3</v>
      </c>
      <c r="D37" s="1" t="s">
        <v>8</v>
      </c>
      <c r="E37" s="2">
        <f t="shared" si="0"/>
        <v>38565</v>
      </c>
      <c r="F37" s="3">
        <v>563</v>
      </c>
      <c r="G37" s="1">
        <f t="shared" si="1"/>
        <v>450.40000000000003</v>
      </c>
      <c r="H37" s="3">
        <f t="shared" si="2"/>
        <v>112.59999999999997</v>
      </c>
    </row>
    <row r="38" spans="1:8" x14ac:dyDescent="0.2">
      <c r="A38" s="2">
        <v>38452</v>
      </c>
      <c r="B38" s="2" t="s">
        <v>13</v>
      </c>
      <c r="C38" s="1" t="s">
        <v>10</v>
      </c>
      <c r="D38" s="1" t="s">
        <v>7</v>
      </c>
      <c r="E38" s="2">
        <f t="shared" si="0"/>
        <v>38565</v>
      </c>
      <c r="F38" s="3">
        <v>669</v>
      </c>
      <c r="G38" s="1">
        <f t="shared" si="1"/>
        <v>535.20000000000005</v>
      </c>
      <c r="H38" s="3">
        <f t="shared" si="2"/>
        <v>133.79999999999995</v>
      </c>
    </row>
    <row r="39" spans="1:8" x14ac:dyDescent="0.2">
      <c r="A39" s="2">
        <v>38454</v>
      </c>
      <c r="B39" s="2" t="s">
        <v>14</v>
      </c>
      <c r="C39" s="1" t="s">
        <v>20</v>
      </c>
      <c r="D39" s="1" t="s">
        <v>6</v>
      </c>
      <c r="E39" s="2">
        <f t="shared" si="0"/>
        <v>38565</v>
      </c>
      <c r="F39" s="3">
        <v>2473</v>
      </c>
      <c r="G39" s="1">
        <f t="shared" si="1"/>
        <v>1978.4</v>
      </c>
      <c r="H39" s="3">
        <f t="shared" si="2"/>
        <v>494.59999999999991</v>
      </c>
    </row>
    <row r="40" spans="1:8" x14ac:dyDescent="0.2">
      <c r="A40" s="2">
        <v>38460</v>
      </c>
      <c r="B40" s="2" t="s">
        <v>13</v>
      </c>
      <c r="C40" s="1" t="s">
        <v>3</v>
      </c>
      <c r="D40" s="1" t="s">
        <v>22</v>
      </c>
      <c r="E40" s="2">
        <f t="shared" si="0"/>
        <v>38565</v>
      </c>
      <c r="F40" s="3">
        <v>563</v>
      </c>
      <c r="G40" s="1">
        <f t="shared" si="1"/>
        <v>450.40000000000003</v>
      </c>
      <c r="H40" s="3">
        <f t="shared" si="2"/>
        <v>112.59999999999997</v>
      </c>
    </row>
    <row r="41" spans="1:8" x14ac:dyDescent="0.2">
      <c r="A41" s="2">
        <v>38461</v>
      </c>
      <c r="B41" s="2" t="s">
        <v>14</v>
      </c>
      <c r="C41" s="1" t="s">
        <v>10</v>
      </c>
      <c r="D41" s="1" t="s">
        <v>8</v>
      </c>
      <c r="E41" s="2">
        <f t="shared" si="0"/>
        <v>38565</v>
      </c>
      <c r="F41" s="3">
        <v>671</v>
      </c>
      <c r="G41" s="1">
        <f t="shared" si="1"/>
        <v>536.80000000000007</v>
      </c>
      <c r="H41" s="3">
        <f t="shared" si="2"/>
        <v>134.19999999999993</v>
      </c>
    </row>
    <row r="42" spans="1:8" x14ac:dyDescent="0.2">
      <c r="A42" s="2">
        <v>38465</v>
      </c>
      <c r="B42" s="2" t="s">
        <v>13</v>
      </c>
      <c r="C42" s="1" t="s">
        <v>19</v>
      </c>
      <c r="D42" s="1" t="s">
        <v>7</v>
      </c>
      <c r="E42" s="2">
        <f t="shared" si="0"/>
        <v>38565</v>
      </c>
      <c r="F42" s="3">
        <v>2529</v>
      </c>
      <c r="G42" s="1">
        <f t="shared" si="1"/>
        <v>2023.2</v>
      </c>
      <c r="H42" s="3">
        <f t="shared" si="2"/>
        <v>505.79999999999995</v>
      </c>
    </row>
    <row r="43" spans="1:8" x14ac:dyDescent="0.2">
      <c r="A43" s="2">
        <v>38469</v>
      </c>
      <c r="B43" s="2" t="s">
        <v>14</v>
      </c>
      <c r="C43" s="1" t="s">
        <v>4</v>
      </c>
      <c r="D43" s="1" t="s">
        <v>6</v>
      </c>
      <c r="E43" s="2">
        <f t="shared" si="0"/>
        <v>38565</v>
      </c>
      <c r="F43" s="3">
        <v>565</v>
      </c>
      <c r="G43" s="1">
        <f t="shared" si="1"/>
        <v>452</v>
      </c>
      <c r="H43" s="3">
        <f t="shared" si="2"/>
        <v>113</v>
      </c>
    </row>
    <row r="44" spans="1:8" x14ac:dyDescent="0.2">
      <c r="A44" s="2">
        <v>38470</v>
      </c>
      <c r="B44" s="2" t="s">
        <v>13</v>
      </c>
      <c r="C44" s="1" t="s">
        <v>10</v>
      </c>
      <c r="D44" s="1" t="s">
        <v>22</v>
      </c>
      <c r="E44" s="2">
        <f t="shared" si="0"/>
        <v>38565</v>
      </c>
      <c r="F44" s="3">
        <v>673</v>
      </c>
      <c r="G44" s="1">
        <f t="shared" si="1"/>
        <v>538.4</v>
      </c>
      <c r="H44" s="3">
        <f t="shared" si="2"/>
        <v>134.60000000000002</v>
      </c>
    </row>
    <row r="45" spans="1:8" x14ac:dyDescent="0.2">
      <c r="A45" s="2">
        <v>38476</v>
      </c>
      <c r="B45" s="2" t="s">
        <v>14</v>
      </c>
      <c r="C45" s="1" t="s">
        <v>20</v>
      </c>
      <c r="D45" s="1" t="s">
        <v>8</v>
      </c>
      <c r="E45" s="2">
        <f t="shared" si="0"/>
        <v>38596</v>
      </c>
      <c r="F45" s="3">
        <v>2529</v>
      </c>
      <c r="G45" s="1">
        <f t="shared" si="1"/>
        <v>2023.2</v>
      </c>
      <c r="H45" s="3">
        <f t="shared" si="2"/>
        <v>505.79999999999995</v>
      </c>
    </row>
    <row r="46" spans="1:8" x14ac:dyDescent="0.2">
      <c r="A46" s="2">
        <v>38478</v>
      </c>
      <c r="B46" s="2" t="s">
        <v>13</v>
      </c>
      <c r="C46" s="1" t="s">
        <v>20</v>
      </c>
      <c r="D46" s="1" t="s">
        <v>7</v>
      </c>
      <c r="E46" s="2">
        <f t="shared" si="0"/>
        <v>38596</v>
      </c>
      <c r="F46" s="3">
        <v>565</v>
      </c>
      <c r="G46" s="1">
        <f t="shared" si="1"/>
        <v>452</v>
      </c>
      <c r="H46" s="3">
        <f t="shared" si="2"/>
        <v>113</v>
      </c>
    </row>
    <row r="47" spans="1:8" x14ac:dyDescent="0.2">
      <c r="A47" s="2">
        <v>38480</v>
      </c>
      <c r="B47" s="2" t="s">
        <v>14</v>
      </c>
      <c r="C47" s="1" t="s">
        <v>10</v>
      </c>
      <c r="D47" s="1" t="s">
        <v>8</v>
      </c>
      <c r="E47" s="2">
        <f t="shared" si="0"/>
        <v>38596</v>
      </c>
      <c r="F47" s="3">
        <v>900</v>
      </c>
      <c r="G47" s="1">
        <f t="shared" si="1"/>
        <v>720</v>
      </c>
      <c r="H47" s="3">
        <f t="shared" si="2"/>
        <v>180</v>
      </c>
    </row>
    <row r="48" spans="1:8" x14ac:dyDescent="0.2">
      <c r="A48" s="2">
        <v>38482</v>
      </c>
      <c r="B48" s="2" t="s">
        <v>13</v>
      </c>
      <c r="C48" s="1" t="s">
        <v>20</v>
      </c>
      <c r="D48" s="1" t="s">
        <v>7</v>
      </c>
      <c r="E48" s="2">
        <f t="shared" si="0"/>
        <v>38596</v>
      </c>
      <c r="F48" s="3">
        <v>1235</v>
      </c>
      <c r="G48" s="1">
        <f t="shared" si="1"/>
        <v>988</v>
      </c>
      <c r="H48" s="3">
        <f t="shared" si="2"/>
        <v>247</v>
      </c>
    </row>
    <row r="49" spans="1:8" x14ac:dyDescent="0.2">
      <c r="A49" s="2">
        <v>38484</v>
      </c>
      <c r="B49" s="2" t="s">
        <v>14</v>
      </c>
      <c r="C49" s="1" t="s">
        <v>3</v>
      </c>
      <c r="D49" s="1" t="s">
        <v>6</v>
      </c>
      <c r="E49" s="2">
        <f t="shared" si="0"/>
        <v>38596</v>
      </c>
      <c r="F49" s="3">
        <v>1570</v>
      </c>
      <c r="G49" s="1">
        <f t="shared" si="1"/>
        <v>1256</v>
      </c>
      <c r="H49" s="3">
        <f t="shared" si="2"/>
        <v>314</v>
      </c>
    </row>
    <row r="50" spans="1:8" x14ac:dyDescent="0.2">
      <c r="A50" s="2">
        <v>38486</v>
      </c>
      <c r="B50" s="2" t="s">
        <v>13</v>
      </c>
      <c r="C50" s="1" t="s">
        <v>15</v>
      </c>
      <c r="D50" s="1" t="s">
        <v>22</v>
      </c>
      <c r="E50" s="2">
        <f t="shared" si="0"/>
        <v>38596</v>
      </c>
      <c r="F50" s="3">
        <v>1905</v>
      </c>
      <c r="G50" s="1">
        <f t="shared" si="1"/>
        <v>1524</v>
      </c>
      <c r="H50" s="3">
        <f t="shared" si="2"/>
        <v>381</v>
      </c>
    </row>
    <row r="51" spans="1:8" x14ac:dyDescent="0.2">
      <c r="A51" s="2">
        <v>38488</v>
      </c>
      <c r="B51" s="2" t="s">
        <v>14</v>
      </c>
      <c r="C51" s="1" t="s">
        <v>19</v>
      </c>
      <c r="D51" s="1" t="s">
        <v>8</v>
      </c>
      <c r="E51" s="2">
        <f t="shared" si="0"/>
        <v>38596</v>
      </c>
      <c r="F51" s="3">
        <v>2240</v>
      </c>
      <c r="G51" s="1">
        <f t="shared" si="1"/>
        <v>1792</v>
      </c>
      <c r="H51" s="3">
        <f t="shared" si="2"/>
        <v>448</v>
      </c>
    </row>
    <row r="52" spans="1:8" x14ac:dyDescent="0.2">
      <c r="A52" s="2">
        <v>38490</v>
      </c>
      <c r="B52" s="2" t="s">
        <v>13</v>
      </c>
      <c r="C52" s="1" t="s">
        <v>4</v>
      </c>
      <c r="D52" s="1" t="s">
        <v>7</v>
      </c>
      <c r="E52" s="2">
        <f t="shared" si="0"/>
        <v>38596</v>
      </c>
      <c r="F52" s="3">
        <v>2575</v>
      </c>
      <c r="G52" s="1">
        <f t="shared" si="1"/>
        <v>2060</v>
      </c>
      <c r="H52" s="3">
        <f t="shared" si="2"/>
        <v>515</v>
      </c>
    </row>
    <row r="53" spans="1:8" x14ac:dyDescent="0.2">
      <c r="A53" s="2">
        <v>38492</v>
      </c>
      <c r="B53" s="2" t="s">
        <v>14</v>
      </c>
      <c r="C53" s="1" t="s">
        <v>10</v>
      </c>
      <c r="D53" s="1" t="s">
        <v>8</v>
      </c>
      <c r="E53" s="2">
        <f t="shared" si="0"/>
        <v>38596</v>
      </c>
      <c r="F53" s="3">
        <v>2910</v>
      </c>
      <c r="G53" s="1">
        <f t="shared" si="1"/>
        <v>2328</v>
      </c>
      <c r="H53" s="3">
        <f t="shared" si="2"/>
        <v>582</v>
      </c>
    </row>
    <row r="54" spans="1:8" x14ac:dyDescent="0.2">
      <c r="A54" s="2">
        <v>38494</v>
      </c>
      <c r="B54" s="2" t="s">
        <v>13</v>
      </c>
      <c r="C54" s="1" t="s">
        <v>17</v>
      </c>
      <c r="D54" s="1" t="s">
        <v>7</v>
      </c>
      <c r="E54" s="2">
        <f t="shared" si="0"/>
        <v>38596</v>
      </c>
      <c r="F54" s="3">
        <v>3245</v>
      </c>
      <c r="G54" s="1">
        <f t="shared" si="1"/>
        <v>2596</v>
      </c>
      <c r="H54" s="3">
        <f t="shared" si="2"/>
        <v>649</v>
      </c>
    </row>
    <row r="55" spans="1:8" x14ac:dyDescent="0.2">
      <c r="A55" s="2">
        <v>38496</v>
      </c>
      <c r="B55" s="2" t="s">
        <v>14</v>
      </c>
      <c r="C55" s="1" t="s">
        <v>20</v>
      </c>
      <c r="D55" s="1" t="s">
        <v>6</v>
      </c>
      <c r="E55" s="2">
        <f t="shared" si="0"/>
        <v>38596</v>
      </c>
      <c r="F55" s="3">
        <v>3580</v>
      </c>
      <c r="G55" s="1">
        <f t="shared" si="1"/>
        <v>2864</v>
      </c>
      <c r="H55" s="3">
        <f t="shared" si="2"/>
        <v>716</v>
      </c>
    </row>
    <row r="56" spans="1:8" x14ac:dyDescent="0.2">
      <c r="A56" s="2">
        <v>38498</v>
      </c>
      <c r="B56" s="2" t="s">
        <v>13</v>
      </c>
      <c r="C56" s="1" t="s">
        <v>10</v>
      </c>
      <c r="D56" s="1" t="s">
        <v>22</v>
      </c>
      <c r="E56" s="2">
        <f t="shared" si="0"/>
        <v>38596</v>
      </c>
      <c r="F56" s="3">
        <v>3915</v>
      </c>
      <c r="G56" s="1">
        <f t="shared" si="1"/>
        <v>3132</v>
      </c>
      <c r="H56" s="3">
        <f t="shared" si="2"/>
        <v>783</v>
      </c>
    </row>
    <row r="57" spans="1:8" x14ac:dyDescent="0.2">
      <c r="A57" s="2">
        <v>38500</v>
      </c>
      <c r="B57" s="2" t="s">
        <v>14</v>
      </c>
      <c r="C57" s="1" t="s">
        <v>20</v>
      </c>
      <c r="D57" s="1" t="s">
        <v>8</v>
      </c>
      <c r="E57" s="2">
        <f t="shared" si="0"/>
        <v>38596</v>
      </c>
      <c r="F57" s="3">
        <v>4250</v>
      </c>
      <c r="G57" s="1">
        <f t="shared" si="1"/>
        <v>3400</v>
      </c>
      <c r="H57" s="3">
        <f t="shared" si="2"/>
        <v>850</v>
      </c>
    </row>
    <row r="58" spans="1:8" x14ac:dyDescent="0.2">
      <c r="A58" s="2">
        <v>38502</v>
      </c>
      <c r="B58" s="2" t="s">
        <v>13</v>
      </c>
      <c r="C58" s="1" t="s">
        <v>3</v>
      </c>
      <c r="D58" s="1" t="s">
        <v>7</v>
      </c>
      <c r="E58" s="2">
        <f t="shared" si="0"/>
        <v>38596</v>
      </c>
      <c r="F58" s="3">
        <v>4585</v>
      </c>
      <c r="G58" s="1">
        <f t="shared" si="1"/>
        <v>3668</v>
      </c>
      <c r="H58" s="3">
        <f t="shared" si="2"/>
        <v>917</v>
      </c>
    </row>
    <row r="59" spans="1:8" x14ac:dyDescent="0.2">
      <c r="A59" s="2">
        <v>38504</v>
      </c>
      <c r="B59" s="2" t="s">
        <v>14</v>
      </c>
      <c r="C59" s="1" t="s">
        <v>10</v>
      </c>
      <c r="D59" s="1" t="s">
        <v>8</v>
      </c>
      <c r="E59" s="2">
        <f t="shared" si="0"/>
        <v>38626</v>
      </c>
      <c r="F59" s="3">
        <v>4920</v>
      </c>
      <c r="G59" s="1">
        <f t="shared" si="1"/>
        <v>3936</v>
      </c>
      <c r="H59" s="3">
        <f t="shared" si="2"/>
        <v>984</v>
      </c>
    </row>
    <row r="60" spans="1:8" x14ac:dyDescent="0.2">
      <c r="A60" s="2">
        <v>38506</v>
      </c>
      <c r="B60" s="2" t="s">
        <v>13</v>
      </c>
      <c r="C60" s="1" t="s">
        <v>19</v>
      </c>
      <c r="D60" s="1" t="s">
        <v>7</v>
      </c>
      <c r="E60" s="2">
        <f t="shared" si="0"/>
        <v>38626</v>
      </c>
      <c r="F60" s="3">
        <v>5255</v>
      </c>
      <c r="G60" s="1">
        <f t="shared" si="1"/>
        <v>4204</v>
      </c>
      <c r="H60" s="3">
        <f t="shared" si="2"/>
        <v>1051</v>
      </c>
    </row>
    <row r="61" spans="1:8" x14ac:dyDescent="0.2">
      <c r="A61" s="2">
        <v>38508</v>
      </c>
      <c r="B61" s="2" t="s">
        <v>14</v>
      </c>
      <c r="C61" s="1" t="s">
        <v>4</v>
      </c>
      <c r="D61" s="1" t="s">
        <v>6</v>
      </c>
      <c r="E61" s="2">
        <f t="shared" si="0"/>
        <v>38626</v>
      </c>
      <c r="F61" s="3">
        <v>5590</v>
      </c>
      <c r="G61" s="1">
        <f t="shared" si="1"/>
        <v>4472</v>
      </c>
      <c r="H61" s="3">
        <f t="shared" si="2"/>
        <v>1118</v>
      </c>
    </row>
    <row r="62" spans="1:8" x14ac:dyDescent="0.2">
      <c r="A62" s="2">
        <v>38510</v>
      </c>
      <c r="B62" s="2" t="s">
        <v>13</v>
      </c>
      <c r="C62" s="1" t="s">
        <v>10</v>
      </c>
      <c r="D62" s="1" t="s">
        <v>22</v>
      </c>
      <c r="E62" s="2">
        <f t="shared" si="0"/>
        <v>38626</v>
      </c>
      <c r="F62" s="3">
        <v>5925</v>
      </c>
      <c r="G62" s="1">
        <f t="shared" si="1"/>
        <v>4740</v>
      </c>
      <c r="H62" s="3">
        <f t="shared" si="2"/>
        <v>1185</v>
      </c>
    </row>
    <row r="63" spans="1:8" x14ac:dyDescent="0.2">
      <c r="A63" s="2">
        <v>38479</v>
      </c>
      <c r="B63" s="2" t="s">
        <v>14</v>
      </c>
      <c r="C63" s="1" t="s">
        <v>10</v>
      </c>
      <c r="D63" s="1" t="s">
        <v>6</v>
      </c>
      <c r="E63" s="2">
        <f t="shared" si="0"/>
        <v>38596</v>
      </c>
      <c r="F63" s="3">
        <v>675</v>
      </c>
      <c r="G63" s="1">
        <f t="shared" si="1"/>
        <v>540</v>
      </c>
      <c r="H63" s="3">
        <f t="shared" si="2"/>
        <v>135</v>
      </c>
    </row>
    <row r="64" spans="1:8" x14ac:dyDescent="0.2">
      <c r="A64" s="2">
        <v>38487</v>
      </c>
      <c r="B64" s="2" t="s">
        <v>13</v>
      </c>
      <c r="C64" s="1" t="s">
        <v>4</v>
      </c>
      <c r="D64" s="1" t="s">
        <v>22</v>
      </c>
      <c r="E64" s="2">
        <f t="shared" si="0"/>
        <v>38596</v>
      </c>
      <c r="F64" s="3">
        <v>2624</v>
      </c>
      <c r="G64" s="1">
        <f t="shared" si="1"/>
        <v>2099.2000000000003</v>
      </c>
      <c r="H64" s="3">
        <f t="shared" si="2"/>
        <v>524.79999999999973</v>
      </c>
    </row>
    <row r="65" spans="1:8" x14ac:dyDescent="0.2">
      <c r="A65" s="2">
        <v>38487</v>
      </c>
      <c r="B65" s="2" t="s">
        <v>14</v>
      </c>
      <c r="C65" s="1" t="s">
        <v>3</v>
      </c>
      <c r="D65" s="1" t="s">
        <v>8</v>
      </c>
      <c r="E65" s="2">
        <f t="shared" si="0"/>
        <v>38596</v>
      </c>
      <c r="F65" s="3">
        <v>565</v>
      </c>
      <c r="G65" s="1">
        <f t="shared" si="1"/>
        <v>452</v>
      </c>
      <c r="H65" s="3">
        <f t="shared" si="2"/>
        <v>113</v>
      </c>
    </row>
    <row r="66" spans="1:8" x14ac:dyDescent="0.2">
      <c r="A66" s="2">
        <v>38488</v>
      </c>
      <c r="B66" s="2" t="s">
        <v>13</v>
      </c>
      <c r="C66" s="1" t="s">
        <v>4</v>
      </c>
      <c r="D66" s="1" t="s">
        <v>7</v>
      </c>
      <c r="E66" s="2">
        <f t="shared" si="0"/>
        <v>38596</v>
      </c>
      <c r="F66" s="3">
        <v>677</v>
      </c>
      <c r="G66" s="1">
        <f t="shared" si="1"/>
        <v>541.6</v>
      </c>
      <c r="H66" s="3">
        <f t="shared" si="2"/>
        <v>135.39999999999998</v>
      </c>
    </row>
    <row r="67" spans="1:8" x14ac:dyDescent="0.2">
      <c r="A67" s="2">
        <v>38496</v>
      </c>
      <c r="B67" s="2" t="s">
        <v>14</v>
      </c>
      <c r="C67" s="1" t="s">
        <v>3</v>
      </c>
      <c r="D67" s="1" t="s">
        <v>6</v>
      </c>
      <c r="E67" s="2">
        <f t="shared" si="0"/>
        <v>38596</v>
      </c>
      <c r="F67" s="3">
        <v>565</v>
      </c>
      <c r="G67" s="1">
        <f t="shared" si="1"/>
        <v>452</v>
      </c>
      <c r="H67" s="3">
        <f t="shared" si="2"/>
        <v>113</v>
      </c>
    </row>
    <row r="68" spans="1:8" x14ac:dyDescent="0.2">
      <c r="A68" s="2">
        <v>38497</v>
      </c>
      <c r="B68" s="2" t="s">
        <v>13</v>
      </c>
      <c r="C68" s="1" t="s">
        <v>20</v>
      </c>
      <c r="D68" s="1" t="s">
        <v>22</v>
      </c>
      <c r="E68" s="2">
        <f t="shared" si="0"/>
        <v>38596</v>
      </c>
      <c r="F68" s="3">
        <v>677</v>
      </c>
      <c r="G68" s="1">
        <f t="shared" si="1"/>
        <v>541.6</v>
      </c>
      <c r="H68" s="3">
        <f t="shared" si="2"/>
        <v>135.39999999999998</v>
      </c>
    </row>
    <row r="69" spans="1:8" x14ac:dyDescent="0.2">
      <c r="A69" s="2">
        <v>38498</v>
      </c>
      <c r="B69" s="2" t="s">
        <v>14</v>
      </c>
      <c r="C69" s="1" t="s">
        <v>4</v>
      </c>
      <c r="D69" s="1" t="s">
        <v>8</v>
      </c>
      <c r="E69" s="2">
        <f t="shared" si="0"/>
        <v>38596</v>
      </c>
      <c r="F69" s="3">
        <v>2781</v>
      </c>
      <c r="G69" s="1">
        <f t="shared" si="1"/>
        <v>2224.8000000000002</v>
      </c>
      <c r="H69" s="3">
        <f t="shared" si="2"/>
        <v>556.19999999999982</v>
      </c>
    </row>
    <row r="70" spans="1:8" x14ac:dyDescent="0.2">
      <c r="A70" s="2">
        <v>38505</v>
      </c>
      <c r="B70" s="2" t="s">
        <v>13</v>
      </c>
      <c r="C70" s="1" t="s">
        <v>3</v>
      </c>
      <c r="D70" s="1" t="s">
        <v>7</v>
      </c>
      <c r="E70" s="2">
        <f t="shared" si="0"/>
        <v>38626</v>
      </c>
      <c r="F70" s="3">
        <v>567</v>
      </c>
      <c r="G70" s="1">
        <f t="shared" si="1"/>
        <v>453.6</v>
      </c>
      <c r="H70" s="3">
        <f t="shared" si="2"/>
        <v>113.39999999999998</v>
      </c>
    </row>
    <row r="71" spans="1:8" x14ac:dyDescent="0.2">
      <c r="A71" s="2">
        <v>38506</v>
      </c>
      <c r="B71" s="2" t="s">
        <v>14</v>
      </c>
      <c r="C71" s="1" t="s">
        <v>4</v>
      </c>
      <c r="D71" s="1" t="s">
        <v>6</v>
      </c>
      <c r="E71" s="2">
        <f t="shared" si="0"/>
        <v>38626</v>
      </c>
      <c r="F71" s="3">
        <v>681</v>
      </c>
      <c r="G71" s="1">
        <f t="shared" si="1"/>
        <v>544.80000000000007</v>
      </c>
      <c r="H71" s="3">
        <f t="shared" si="2"/>
        <v>136.19999999999993</v>
      </c>
    </row>
    <row r="72" spans="1:8" x14ac:dyDescent="0.2">
      <c r="A72" s="2">
        <v>38509</v>
      </c>
      <c r="B72" s="2" t="s">
        <v>13</v>
      </c>
      <c r="C72" s="1" t="s">
        <v>4</v>
      </c>
      <c r="D72" s="1" t="s">
        <v>22</v>
      </c>
      <c r="E72" s="2">
        <f t="shared" si="0"/>
        <v>38626</v>
      </c>
      <c r="F72" s="3">
        <v>2939</v>
      </c>
      <c r="G72" s="1">
        <f t="shared" si="1"/>
        <v>2351.2000000000003</v>
      </c>
      <c r="H72" s="3">
        <f t="shared" si="2"/>
        <v>587.79999999999973</v>
      </c>
    </row>
    <row r="73" spans="1:8" x14ac:dyDescent="0.2">
      <c r="A73" s="2">
        <v>38514</v>
      </c>
      <c r="B73" s="2" t="s">
        <v>14</v>
      </c>
      <c r="C73" s="1" t="s">
        <v>21</v>
      </c>
      <c r="D73" s="1" t="s">
        <v>8</v>
      </c>
      <c r="E73" s="2">
        <f t="shared" si="0"/>
        <v>38626</v>
      </c>
      <c r="F73" s="3">
        <v>567</v>
      </c>
      <c r="G73" s="1">
        <f t="shared" si="1"/>
        <v>453.6</v>
      </c>
      <c r="H73" s="3">
        <f t="shared" si="2"/>
        <v>113.39999999999998</v>
      </c>
    </row>
    <row r="74" spans="1:8" x14ac:dyDescent="0.2">
      <c r="A74" s="2">
        <v>38515</v>
      </c>
      <c r="B74" s="2" t="s">
        <v>13</v>
      </c>
      <c r="C74" s="1" t="s">
        <v>20</v>
      </c>
      <c r="D74" s="1" t="s">
        <v>7</v>
      </c>
      <c r="E74" s="2">
        <f t="shared" si="0"/>
        <v>38626</v>
      </c>
      <c r="F74" s="3">
        <v>681</v>
      </c>
      <c r="G74" s="1">
        <f t="shared" si="1"/>
        <v>544.80000000000007</v>
      </c>
      <c r="H74" s="3">
        <f t="shared" si="2"/>
        <v>136.19999999999993</v>
      </c>
    </row>
    <row r="75" spans="1:8" x14ac:dyDescent="0.2">
      <c r="A75" s="2">
        <v>38523</v>
      </c>
      <c r="B75" s="2" t="s">
        <v>14</v>
      </c>
      <c r="C75" s="1" t="s">
        <v>3</v>
      </c>
      <c r="D75" s="1" t="s">
        <v>6</v>
      </c>
      <c r="E75" s="2">
        <f t="shared" si="0"/>
        <v>38626</v>
      </c>
      <c r="F75" s="3">
        <v>569</v>
      </c>
      <c r="G75" s="1">
        <f t="shared" si="1"/>
        <v>455.20000000000005</v>
      </c>
      <c r="H75" s="3">
        <f t="shared" si="2"/>
        <v>113.79999999999995</v>
      </c>
    </row>
    <row r="76" spans="1:8" x14ac:dyDescent="0.2">
      <c r="A76" s="2">
        <v>38524</v>
      </c>
      <c r="B76" s="2" t="s">
        <v>13</v>
      </c>
      <c r="C76" s="1" t="s">
        <v>4</v>
      </c>
      <c r="D76" s="1" t="s">
        <v>22</v>
      </c>
      <c r="E76" s="2">
        <f t="shared" si="0"/>
        <v>38626</v>
      </c>
      <c r="F76" s="3">
        <v>737</v>
      </c>
      <c r="G76" s="1">
        <f t="shared" si="1"/>
        <v>589.6</v>
      </c>
      <c r="H76" s="3">
        <f t="shared" si="2"/>
        <v>147.39999999999998</v>
      </c>
    </row>
    <row r="77" spans="1:8" x14ac:dyDescent="0.2">
      <c r="A77" s="2">
        <v>38532</v>
      </c>
      <c r="B77" s="2" t="s">
        <v>14</v>
      </c>
      <c r="C77" s="1" t="s">
        <v>21</v>
      </c>
      <c r="D77" s="1" t="s">
        <v>8</v>
      </c>
      <c r="E77" s="2">
        <f t="shared" si="0"/>
        <v>38626</v>
      </c>
      <c r="F77" s="3">
        <v>569</v>
      </c>
      <c r="G77" s="1">
        <f t="shared" si="1"/>
        <v>455.20000000000005</v>
      </c>
      <c r="H77" s="3">
        <f t="shared" si="2"/>
        <v>113.79999999999995</v>
      </c>
    </row>
    <row r="78" spans="1:8" x14ac:dyDescent="0.2">
      <c r="A78" s="2">
        <v>38533</v>
      </c>
      <c r="B78" s="2" t="s">
        <v>13</v>
      </c>
      <c r="C78" s="1" t="s">
        <v>20</v>
      </c>
      <c r="D78" s="1" t="s">
        <v>7</v>
      </c>
      <c r="E78" s="2">
        <f t="shared" si="0"/>
        <v>38626</v>
      </c>
      <c r="F78" s="3">
        <v>737</v>
      </c>
      <c r="G78" s="1">
        <f t="shared" si="1"/>
        <v>589.6</v>
      </c>
      <c r="H78" s="3">
        <f t="shared" si="2"/>
        <v>147.39999999999998</v>
      </c>
    </row>
    <row r="79" spans="1:8" x14ac:dyDescent="0.2">
      <c r="A79" s="2">
        <v>38541</v>
      </c>
      <c r="B79" s="2" t="s">
        <v>14</v>
      </c>
      <c r="C79" s="1" t="s">
        <v>3</v>
      </c>
      <c r="D79" s="1" t="s">
        <v>6</v>
      </c>
      <c r="E79" s="2">
        <f t="shared" si="0"/>
        <v>38657</v>
      </c>
      <c r="F79" s="3">
        <v>571</v>
      </c>
      <c r="G79" s="1">
        <f t="shared" si="1"/>
        <v>456.8</v>
      </c>
      <c r="H79" s="3">
        <f t="shared" si="2"/>
        <v>114.19999999999999</v>
      </c>
    </row>
    <row r="80" spans="1:8" x14ac:dyDescent="0.2">
      <c r="A80" s="2">
        <v>38542</v>
      </c>
      <c r="B80" s="2" t="s">
        <v>13</v>
      </c>
      <c r="C80" s="1" t="s">
        <v>19</v>
      </c>
      <c r="D80" s="1" t="s">
        <v>22</v>
      </c>
      <c r="E80" s="2">
        <f t="shared" si="0"/>
        <v>38657</v>
      </c>
      <c r="F80" s="3">
        <v>776</v>
      </c>
      <c r="G80" s="1">
        <f t="shared" si="1"/>
        <v>620.80000000000007</v>
      </c>
      <c r="H80" s="3">
        <f t="shared" si="2"/>
        <v>155.19999999999993</v>
      </c>
    </row>
    <row r="81" spans="1:8" x14ac:dyDescent="0.2">
      <c r="A81" s="2">
        <v>38550</v>
      </c>
      <c r="B81" s="2" t="s">
        <v>14</v>
      </c>
      <c r="C81" s="1" t="s">
        <v>21</v>
      </c>
      <c r="D81" s="1" t="s">
        <v>8</v>
      </c>
      <c r="E81" s="2">
        <f t="shared" si="0"/>
        <v>38657</v>
      </c>
      <c r="F81" s="3">
        <v>571</v>
      </c>
      <c r="G81" s="1">
        <f t="shared" si="1"/>
        <v>456.8</v>
      </c>
      <c r="H81" s="3">
        <f t="shared" si="2"/>
        <v>114.19999999999999</v>
      </c>
    </row>
    <row r="82" spans="1:8" x14ac:dyDescent="0.2">
      <c r="A82" s="2">
        <v>38551</v>
      </c>
      <c r="B82" s="2" t="s">
        <v>13</v>
      </c>
      <c r="C82" s="1" t="s">
        <v>4</v>
      </c>
      <c r="D82" s="1" t="s">
        <v>7</v>
      </c>
      <c r="E82" s="2">
        <f t="shared" si="0"/>
        <v>38657</v>
      </c>
      <c r="F82" s="3">
        <v>776</v>
      </c>
      <c r="G82" s="1">
        <f t="shared" si="1"/>
        <v>620.80000000000007</v>
      </c>
      <c r="H82" s="3">
        <f t="shared" si="2"/>
        <v>155.19999999999993</v>
      </c>
    </row>
    <row r="83" spans="1:8" x14ac:dyDescent="0.2">
      <c r="A83" s="2">
        <v>38559</v>
      </c>
      <c r="B83" s="2" t="s">
        <v>14</v>
      </c>
      <c r="C83" s="1" t="s">
        <v>3</v>
      </c>
      <c r="D83" s="1" t="s">
        <v>6</v>
      </c>
      <c r="E83" s="2">
        <f t="shared" ref="E83:E146" si="3">DATE(YEAR(A83),MONTH(A83)+4,1)</f>
        <v>38657</v>
      </c>
      <c r="F83" s="3">
        <v>573</v>
      </c>
      <c r="G83" s="1">
        <f t="shared" si="1"/>
        <v>458.40000000000003</v>
      </c>
      <c r="H83" s="3">
        <f t="shared" si="2"/>
        <v>114.59999999999997</v>
      </c>
    </row>
    <row r="84" spans="1:8" x14ac:dyDescent="0.2">
      <c r="A84" s="2">
        <v>38560</v>
      </c>
      <c r="B84" s="2" t="s">
        <v>13</v>
      </c>
      <c r="C84" s="1" t="s">
        <v>19</v>
      </c>
      <c r="D84" s="1" t="s">
        <v>22</v>
      </c>
      <c r="E84" s="2">
        <f t="shared" si="3"/>
        <v>38657</v>
      </c>
      <c r="F84" s="3">
        <v>793</v>
      </c>
      <c r="G84" s="1">
        <f t="shared" si="1"/>
        <v>634.40000000000009</v>
      </c>
      <c r="H84" s="3">
        <f t="shared" si="2"/>
        <v>158.59999999999991</v>
      </c>
    </row>
    <row r="85" spans="1:8" x14ac:dyDescent="0.2">
      <c r="A85" s="2">
        <v>38568</v>
      </c>
      <c r="B85" s="2" t="s">
        <v>14</v>
      </c>
      <c r="C85" s="1" t="s">
        <v>21</v>
      </c>
      <c r="D85" s="1" t="s">
        <v>8</v>
      </c>
      <c r="E85" s="2">
        <f t="shared" si="3"/>
        <v>38687</v>
      </c>
      <c r="F85" s="3">
        <v>573</v>
      </c>
      <c r="G85" s="1">
        <f t="shared" si="1"/>
        <v>458.40000000000003</v>
      </c>
      <c r="H85" s="3">
        <f t="shared" si="2"/>
        <v>114.59999999999997</v>
      </c>
    </row>
    <row r="86" spans="1:8" x14ac:dyDescent="0.2">
      <c r="A86" s="2">
        <v>38569</v>
      </c>
      <c r="B86" s="2" t="s">
        <v>13</v>
      </c>
      <c r="C86" s="1" t="s">
        <v>20</v>
      </c>
      <c r="D86" s="1" t="s">
        <v>7</v>
      </c>
      <c r="E86" s="2">
        <f t="shared" si="3"/>
        <v>38687</v>
      </c>
      <c r="F86" s="3">
        <v>793</v>
      </c>
      <c r="G86" s="1">
        <f t="shared" si="1"/>
        <v>634.40000000000009</v>
      </c>
      <c r="H86" s="3">
        <f t="shared" si="2"/>
        <v>158.59999999999991</v>
      </c>
    </row>
    <row r="87" spans="1:8" x14ac:dyDescent="0.2">
      <c r="A87" s="2">
        <v>38577</v>
      </c>
      <c r="B87" s="2" t="s">
        <v>14</v>
      </c>
      <c r="C87" s="1" t="s">
        <v>3</v>
      </c>
      <c r="D87" s="1" t="s">
        <v>6</v>
      </c>
      <c r="E87" s="2">
        <f t="shared" si="3"/>
        <v>38687</v>
      </c>
      <c r="F87" s="3">
        <v>575</v>
      </c>
      <c r="G87" s="1">
        <f t="shared" ref="G87:G150" si="4">F87*0.8</f>
        <v>460</v>
      </c>
      <c r="H87" s="3">
        <f t="shared" ref="H87:H150" si="5">F87-G87</f>
        <v>115</v>
      </c>
    </row>
    <row r="88" spans="1:8" x14ac:dyDescent="0.2">
      <c r="A88" s="2">
        <v>38578</v>
      </c>
      <c r="B88" s="2" t="s">
        <v>13</v>
      </c>
      <c r="C88" s="1" t="s">
        <v>19</v>
      </c>
      <c r="D88" s="1" t="s">
        <v>22</v>
      </c>
      <c r="E88" s="2">
        <f t="shared" si="3"/>
        <v>38687</v>
      </c>
      <c r="F88" s="3">
        <v>849</v>
      </c>
      <c r="G88" s="1">
        <f t="shared" si="4"/>
        <v>679.2</v>
      </c>
      <c r="H88" s="3">
        <f t="shared" si="5"/>
        <v>169.79999999999995</v>
      </c>
    </row>
    <row r="89" spans="1:8" x14ac:dyDescent="0.2">
      <c r="A89" s="2">
        <v>38586</v>
      </c>
      <c r="B89" s="2" t="s">
        <v>14</v>
      </c>
      <c r="C89" s="1" t="s">
        <v>21</v>
      </c>
      <c r="D89" s="1" t="s">
        <v>8</v>
      </c>
      <c r="E89" s="2">
        <f t="shared" si="3"/>
        <v>38687</v>
      </c>
      <c r="F89" s="3">
        <v>575</v>
      </c>
      <c r="G89" s="1">
        <f t="shared" si="4"/>
        <v>460</v>
      </c>
      <c r="H89" s="3">
        <f t="shared" si="5"/>
        <v>115</v>
      </c>
    </row>
    <row r="90" spans="1:8" x14ac:dyDescent="0.2">
      <c r="A90" s="2">
        <v>38587</v>
      </c>
      <c r="B90" s="2" t="s">
        <v>13</v>
      </c>
      <c r="C90" s="1" t="s">
        <v>20</v>
      </c>
      <c r="D90" s="1" t="s">
        <v>7</v>
      </c>
      <c r="E90" s="2">
        <f t="shared" si="3"/>
        <v>38687</v>
      </c>
      <c r="F90" s="3">
        <v>849</v>
      </c>
      <c r="G90" s="1">
        <f t="shared" si="4"/>
        <v>679.2</v>
      </c>
      <c r="H90" s="3">
        <f t="shared" si="5"/>
        <v>169.79999999999995</v>
      </c>
    </row>
    <row r="91" spans="1:8" x14ac:dyDescent="0.2">
      <c r="A91" s="2">
        <v>38595</v>
      </c>
      <c r="B91" s="2" t="s">
        <v>14</v>
      </c>
      <c r="C91" s="1" t="s">
        <v>3</v>
      </c>
      <c r="D91" s="1" t="s">
        <v>6</v>
      </c>
      <c r="E91" s="2">
        <f t="shared" si="3"/>
        <v>38687</v>
      </c>
      <c r="F91" s="3">
        <v>577</v>
      </c>
      <c r="G91" s="1">
        <f t="shared" si="4"/>
        <v>461.6</v>
      </c>
      <c r="H91" s="3">
        <f t="shared" si="5"/>
        <v>115.39999999999998</v>
      </c>
    </row>
    <row r="92" spans="1:8" x14ac:dyDescent="0.2">
      <c r="A92" s="2">
        <v>38596</v>
      </c>
      <c r="B92" s="2" t="s">
        <v>13</v>
      </c>
      <c r="C92" s="1" t="s">
        <v>19</v>
      </c>
      <c r="D92" s="1" t="s">
        <v>22</v>
      </c>
      <c r="E92" s="2">
        <f t="shared" si="3"/>
        <v>38718</v>
      </c>
      <c r="F92" s="3">
        <v>871</v>
      </c>
      <c r="G92" s="1">
        <f t="shared" si="4"/>
        <v>696.80000000000007</v>
      </c>
      <c r="H92" s="3">
        <f t="shared" si="5"/>
        <v>174.19999999999993</v>
      </c>
    </row>
    <row r="93" spans="1:8" x14ac:dyDescent="0.2">
      <c r="A93" s="2">
        <v>38604</v>
      </c>
      <c r="B93" s="2" t="s">
        <v>14</v>
      </c>
      <c r="C93" s="1" t="s">
        <v>21</v>
      </c>
      <c r="D93" s="1" t="s">
        <v>8</v>
      </c>
      <c r="E93" s="2">
        <f t="shared" si="3"/>
        <v>38718</v>
      </c>
      <c r="F93" s="3">
        <v>577</v>
      </c>
      <c r="G93" s="1">
        <f t="shared" si="4"/>
        <v>461.6</v>
      </c>
      <c r="H93" s="3">
        <f t="shared" si="5"/>
        <v>115.39999999999998</v>
      </c>
    </row>
    <row r="94" spans="1:8" x14ac:dyDescent="0.2">
      <c r="A94" s="2">
        <v>38605</v>
      </c>
      <c r="B94" s="2" t="s">
        <v>13</v>
      </c>
      <c r="C94" s="1" t="s">
        <v>4</v>
      </c>
      <c r="D94" s="1" t="s">
        <v>7</v>
      </c>
      <c r="E94" s="2">
        <f t="shared" si="3"/>
        <v>38718</v>
      </c>
      <c r="F94" s="3">
        <v>871</v>
      </c>
      <c r="G94" s="1">
        <f t="shared" si="4"/>
        <v>696.80000000000007</v>
      </c>
      <c r="H94" s="3">
        <f t="shared" si="5"/>
        <v>174.19999999999993</v>
      </c>
    </row>
    <row r="95" spans="1:8" x14ac:dyDescent="0.2">
      <c r="A95" s="2">
        <v>38613</v>
      </c>
      <c r="B95" s="2" t="s">
        <v>14</v>
      </c>
      <c r="C95" s="1" t="s">
        <v>3</v>
      </c>
      <c r="D95" s="1" t="s">
        <v>6</v>
      </c>
      <c r="E95" s="2">
        <f t="shared" si="3"/>
        <v>38718</v>
      </c>
      <c r="F95" s="3">
        <v>579</v>
      </c>
      <c r="G95" s="1">
        <f t="shared" si="4"/>
        <v>463.20000000000005</v>
      </c>
      <c r="H95" s="3">
        <f t="shared" si="5"/>
        <v>115.79999999999995</v>
      </c>
    </row>
    <row r="96" spans="1:8" x14ac:dyDescent="0.2">
      <c r="A96" s="2">
        <v>38614</v>
      </c>
      <c r="B96" s="2" t="s">
        <v>13</v>
      </c>
      <c r="C96" s="1" t="s">
        <v>19</v>
      </c>
      <c r="D96" s="1" t="s">
        <v>22</v>
      </c>
      <c r="E96" s="2">
        <f t="shared" si="3"/>
        <v>38718</v>
      </c>
      <c r="F96" s="3">
        <v>905</v>
      </c>
      <c r="G96" s="1">
        <f t="shared" si="4"/>
        <v>724</v>
      </c>
      <c r="H96" s="3">
        <f t="shared" si="5"/>
        <v>181</v>
      </c>
    </row>
    <row r="97" spans="1:8" x14ac:dyDescent="0.2">
      <c r="A97" s="2">
        <v>38622</v>
      </c>
      <c r="B97" s="2" t="s">
        <v>14</v>
      </c>
      <c r="C97" s="1" t="s">
        <v>21</v>
      </c>
      <c r="D97" s="1" t="s">
        <v>8</v>
      </c>
      <c r="E97" s="2">
        <f t="shared" si="3"/>
        <v>38718</v>
      </c>
      <c r="F97" s="3">
        <v>579</v>
      </c>
      <c r="G97" s="1">
        <f t="shared" si="4"/>
        <v>463.20000000000005</v>
      </c>
      <c r="H97" s="3">
        <f t="shared" si="5"/>
        <v>115.79999999999995</v>
      </c>
    </row>
    <row r="98" spans="1:8" x14ac:dyDescent="0.2">
      <c r="A98" s="2">
        <v>38623</v>
      </c>
      <c r="B98" s="2" t="s">
        <v>13</v>
      </c>
      <c r="C98" s="1" t="s">
        <v>20</v>
      </c>
      <c r="D98" s="1" t="s">
        <v>7</v>
      </c>
      <c r="E98" s="2">
        <f t="shared" si="3"/>
        <v>38718</v>
      </c>
      <c r="F98" s="3">
        <v>905</v>
      </c>
      <c r="G98" s="1">
        <f t="shared" si="4"/>
        <v>724</v>
      </c>
      <c r="H98" s="3">
        <f t="shared" si="5"/>
        <v>181</v>
      </c>
    </row>
    <row r="99" spans="1:8" x14ac:dyDescent="0.2">
      <c r="A99" s="2">
        <v>38631</v>
      </c>
      <c r="B99" s="2" t="s">
        <v>14</v>
      </c>
      <c r="C99" s="1" t="s">
        <v>3</v>
      </c>
      <c r="D99" s="1" t="s">
        <v>6</v>
      </c>
      <c r="E99" s="2">
        <f t="shared" si="3"/>
        <v>38749</v>
      </c>
      <c r="F99" s="3">
        <v>581</v>
      </c>
      <c r="G99" s="1">
        <f t="shared" si="4"/>
        <v>464.8</v>
      </c>
      <c r="H99" s="3">
        <f t="shared" si="5"/>
        <v>116.19999999999999</v>
      </c>
    </row>
    <row r="100" spans="1:8" x14ac:dyDescent="0.2">
      <c r="A100" s="2">
        <v>38632</v>
      </c>
      <c r="B100" s="2" t="s">
        <v>13</v>
      </c>
      <c r="C100" s="1" t="s">
        <v>19</v>
      </c>
      <c r="D100" s="1" t="s">
        <v>22</v>
      </c>
      <c r="E100" s="2">
        <f t="shared" si="3"/>
        <v>38749</v>
      </c>
      <c r="F100" s="3">
        <v>961</v>
      </c>
      <c r="G100" s="1">
        <f t="shared" si="4"/>
        <v>768.80000000000007</v>
      </c>
      <c r="H100" s="3">
        <f t="shared" si="5"/>
        <v>192.19999999999993</v>
      </c>
    </row>
    <row r="101" spans="1:8" x14ac:dyDescent="0.2">
      <c r="A101" s="2">
        <v>38640</v>
      </c>
      <c r="B101" s="2" t="s">
        <v>14</v>
      </c>
      <c r="C101" s="1" t="s">
        <v>21</v>
      </c>
      <c r="D101" s="1" t="s">
        <v>8</v>
      </c>
      <c r="E101" s="2">
        <f t="shared" si="3"/>
        <v>38749</v>
      </c>
      <c r="F101" s="3">
        <v>581</v>
      </c>
      <c r="G101" s="1">
        <f t="shared" si="4"/>
        <v>464.8</v>
      </c>
      <c r="H101" s="3">
        <f t="shared" si="5"/>
        <v>116.19999999999999</v>
      </c>
    </row>
    <row r="102" spans="1:8" x14ac:dyDescent="0.2">
      <c r="A102" s="2">
        <v>38641</v>
      </c>
      <c r="B102" s="2" t="s">
        <v>13</v>
      </c>
      <c r="C102" s="1" t="s">
        <v>20</v>
      </c>
      <c r="D102" s="1" t="s">
        <v>7</v>
      </c>
      <c r="E102" s="2">
        <f t="shared" si="3"/>
        <v>38749</v>
      </c>
      <c r="F102" s="3">
        <v>961</v>
      </c>
      <c r="G102" s="1">
        <f t="shared" si="4"/>
        <v>768.80000000000007</v>
      </c>
      <c r="H102" s="3">
        <f t="shared" si="5"/>
        <v>192.19999999999993</v>
      </c>
    </row>
    <row r="103" spans="1:8" x14ac:dyDescent="0.2">
      <c r="A103" s="2">
        <v>38649</v>
      </c>
      <c r="B103" s="2" t="s">
        <v>14</v>
      </c>
      <c r="C103" s="1" t="s">
        <v>3</v>
      </c>
      <c r="D103" s="1" t="s">
        <v>6</v>
      </c>
      <c r="E103" s="2">
        <f t="shared" si="3"/>
        <v>38749</v>
      </c>
      <c r="F103" s="3">
        <v>583</v>
      </c>
      <c r="G103" s="1">
        <f t="shared" si="4"/>
        <v>466.40000000000003</v>
      </c>
      <c r="H103" s="3">
        <f t="shared" si="5"/>
        <v>116.59999999999997</v>
      </c>
    </row>
    <row r="104" spans="1:8" x14ac:dyDescent="0.2">
      <c r="A104" s="2">
        <v>38650</v>
      </c>
      <c r="B104" s="2" t="s">
        <v>13</v>
      </c>
      <c r="C104" s="1" t="s">
        <v>19</v>
      </c>
      <c r="D104" s="1" t="s">
        <v>22</v>
      </c>
      <c r="E104" s="2">
        <f t="shared" si="3"/>
        <v>38749</v>
      </c>
      <c r="F104" s="3">
        <v>1017</v>
      </c>
      <c r="G104" s="1">
        <f t="shared" si="4"/>
        <v>813.6</v>
      </c>
      <c r="H104" s="3">
        <f t="shared" si="5"/>
        <v>203.39999999999998</v>
      </c>
    </row>
    <row r="105" spans="1:8" x14ac:dyDescent="0.2">
      <c r="A105" s="2">
        <v>38658</v>
      </c>
      <c r="B105" s="2" t="s">
        <v>14</v>
      </c>
      <c r="C105" s="1" t="s">
        <v>21</v>
      </c>
      <c r="D105" s="1" t="s">
        <v>8</v>
      </c>
      <c r="E105" s="2">
        <f t="shared" si="3"/>
        <v>38777</v>
      </c>
      <c r="F105" s="3">
        <v>583</v>
      </c>
      <c r="G105" s="1">
        <f t="shared" si="4"/>
        <v>466.40000000000003</v>
      </c>
      <c r="H105" s="3">
        <f t="shared" si="5"/>
        <v>116.59999999999997</v>
      </c>
    </row>
    <row r="106" spans="1:8" x14ac:dyDescent="0.2">
      <c r="A106" s="2">
        <v>38659</v>
      </c>
      <c r="B106" s="2" t="s">
        <v>13</v>
      </c>
      <c r="C106" s="1" t="s">
        <v>4</v>
      </c>
      <c r="D106" s="1" t="s">
        <v>7</v>
      </c>
      <c r="E106" s="2">
        <f t="shared" si="3"/>
        <v>38777</v>
      </c>
      <c r="F106" s="3">
        <v>1017</v>
      </c>
      <c r="G106" s="1">
        <f t="shared" si="4"/>
        <v>813.6</v>
      </c>
      <c r="H106" s="3">
        <f t="shared" si="5"/>
        <v>203.39999999999998</v>
      </c>
    </row>
    <row r="107" spans="1:8" x14ac:dyDescent="0.2">
      <c r="A107" s="2">
        <v>38667</v>
      </c>
      <c r="B107" s="2" t="s">
        <v>14</v>
      </c>
      <c r="C107" s="1" t="s">
        <v>3</v>
      </c>
      <c r="D107" s="1" t="s">
        <v>6</v>
      </c>
      <c r="E107" s="2">
        <f t="shared" si="3"/>
        <v>38777</v>
      </c>
      <c r="F107" s="3">
        <v>585</v>
      </c>
      <c r="G107" s="1">
        <f t="shared" si="4"/>
        <v>468</v>
      </c>
      <c r="H107" s="3">
        <f t="shared" si="5"/>
        <v>117</v>
      </c>
    </row>
    <row r="108" spans="1:8" x14ac:dyDescent="0.2">
      <c r="A108" s="2">
        <v>38668</v>
      </c>
      <c r="B108" s="2" t="s">
        <v>13</v>
      </c>
      <c r="C108" s="1" t="s">
        <v>19</v>
      </c>
      <c r="D108" s="1" t="s">
        <v>22</v>
      </c>
      <c r="E108" s="2">
        <f t="shared" si="3"/>
        <v>38777</v>
      </c>
      <c r="F108" s="3">
        <v>1049</v>
      </c>
      <c r="G108" s="1">
        <f t="shared" si="4"/>
        <v>839.2</v>
      </c>
      <c r="H108" s="3">
        <f t="shared" si="5"/>
        <v>209.79999999999995</v>
      </c>
    </row>
    <row r="109" spans="1:8" x14ac:dyDescent="0.2">
      <c r="A109" s="2">
        <v>38676</v>
      </c>
      <c r="B109" s="2" t="s">
        <v>14</v>
      </c>
      <c r="C109" s="1" t="s">
        <v>3</v>
      </c>
      <c r="D109" s="1" t="s">
        <v>8</v>
      </c>
      <c r="E109" s="2">
        <f t="shared" si="3"/>
        <v>38777</v>
      </c>
      <c r="F109" s="3">
        <v>587</v>
      </c>
      <c r="G109" s="1">
        <f t="shared" si="4"/>
        <v>469.6</v>
      </c>
      <c r="H109" s="3">
        <f t="shared" si="5"/>
        <v>117.39999999999998</v>
      </c>
    </row>
    <row r="110" spans="1:8" x14ac:dyDescent="0.2">
      <c r="A110" s="2">
        <v>38677</v>
      </c>
      <c r="B110" s="2" t="s">
        <v>13</v>
      </c>
      <c r="C110" s="1" t="s">
        <v>4</v>
      </c>
      <c r="D110" s="1" t="s">
        <v>7</v>
      </c>
      <c r="E110" s="2">
        <f t="shared" si="3"/>
        <v>38777</v>
      </c>
      <c r="F110" s="3">
        <v>1049</v>
      </c>
      <c r="G110" s="1">
        <f t="shared" si="4"/>
        <v>839.2</v>
      </c>
      <c r="H110" s="3">
        <f t="shared" si="5"/>
        <v>209.79999999999995</v>
      </c>
    </row>
    <row r="111" spans="1:8" x14ac:dyDescent="0.2">
      <c r="A111" s="2">
        <v>38685</v>
      </c>
      <c r="B111" s="2" t="s">
        <v>14</v>
      </c>
      <c r="C111" s="1" t="s">
        <v>21</v>
      </c>
      <c r="D111" s="1" t="s">
        <v>6</v>
      </c>
      <c r="E111" s="2">
        <f t="shared" si="3"/>
        <v>38777</v>
      </c>
      <c r="F111" s="3">
        <v>587</v>
      </c>
      <c r="G111" s="1">
        <f t="shared" si="4"/>
        <v>469.6</v>
      </c>
      <c r="H111" s="3">
        <f t="shared" si="5"/>
        <v>117.39999999999998</v>
      </c>
    </row>
    <row r="112" spans="1:8" x14ac:dyDescent="0.2">
      <c r="A112" s="2">
        <v>38686</v>
      </c>
      <c r="B112" s="2" t="s">
        <v>13</v>
      </c>
      <c r="C112" s="1" t="s">
        <v>19</v>
      </c>
      <c r="D112" s="1" t="s">
        <v>22</v>
      </c>
      <c r="E112" s="2">
        <f t="shared" si="3"/>
        <v>38777</v>
      </c>
      <c r="F112" s="3">
        <v>1073</v>
      </c>
      <c r="G112" s="1">
        <f t="shared" si="4"/>
        <v>858.40000000000009</v>
      </c>
      <c r="H112" s="3">
        <f t="shared" si="5"/>
        <v>214.59999999999991</v>
      </c>
    </row>
    <row r="113" spans="1:8" x14ac:dyDescent="0.2">
      <c r="A113" s="2">
        <v>38694</v>
      </c>
      <c r="B113" s="2" t="s">
        <v>14</v>
      </c>
      <c r="C113" s="1" t="s">
        <v>3</v>
      </c>
      <c r="D113" s="1" t="s">
        <v>8</v>
      </c>
      <c r="E113" s="2">
        <f t="shared" si="3"/>
        <v>38808</v>
      </c>
      <c r="F113" s="3">
        <v>589</v>
      </c>
      <c r="G113" s="1">
        <f t="shared" si="4"/>
        <v>471.20000000000005</v>
      </c>
      <c r="H113" s="3">
        <f t="shared" si="5"/>
        <v>117.79999999999995</v>
      </c>
    </row>
    <row r="114" spans="1:8" x14ac:dyDescent="0.2">
      <c r="A114" s="2">
        <v>38695</v>
      </c>
      <c r="B114" s="2" t="s">
        <v>13</v>
      </c>
      <c r="C114" s="1" t="s">
        <v>4</v>
      </c>
      <c r="D114" s="1" t="s">
        <v>7</v>
      </c>
      <c r="E114" s="2">
        <f t="shared" si="3"/>
        <v>38808</v>
      </c>
      <c r="F114" s="3">
        <v>1073</v>
      </c>
      <c r="G114" s="1">
        <f t="shared" si="4"/>
        <v>858.40000000000009</v>
      </c>
      <c r="H114" s="3">
        <f t="shared" si="5"/>
        <v>214.59999999999991</v>
      </c>
    </row>
    <row r="115" spans="1:8" x14ac:dyDescent="0.2">
      <c r="A115" s="2">
        <v>38703</v>
      </c>
      <c r="B115" s="2" t="s">
        <v>14</v>
      </c>
      <c r="C115" s="1" t="s">
        <v>3</v>
      </c>
      <c r="D115" s="1" t="s">
        <v>6</v>
      </c>
      <c r="E115" s="2">
        <f t="shared" si="3"/>
        <v>38808</v>
      </c>
      <c r="F115" s="3">
        <v>591</v>
      </c>
      <c r="G115" s="1">
        <f t="shared" si="4"/>
        <v>472.8</v>
      </c>
      <c r="H115" s="3">
        <f t="shared" si="5"/>
        <v>118.19999999999999</v>
      </c>
    </row>
    <row r="116" spans="1:8" x14ac:dyDescent="0.2">
      <c r="A116" s="2">
        <v>38704</v>
      </c>
      <c r="B116" s="2" t="s">
        <v>13</v>
      </c>
      <c r="C116" s="1" t="s">
        <v>19</v>
      </c>
      <c r="D116" s="1" t="s">
        <v>22</v>
      </c>
      <c r="E116" s="2">
        <f t="shared" si="3"/>
        <v>38808</v>
      </c>
      <c r="F116" s="3">
        <v>1129</v>
      </c>
      <c r="G116" s="1">
        <f t="shared" si="4"/>
        <v>903.2</v>
      </c>
      <c r="H116" s="3">
        <f t="shared" si="5"/>
        <v>225.79999999999995</v>
      </c>
    </row>
    <row r="117" spans="1:8" x14ac:dyDescent="0.2">
      <c r="A117" s="2">
        <v>38712</v>
      </c>
      <c r="B117" s="2" t="s">
        <v>14</v>
      </c>
      <c r="C117" s="1" t="s">
        <v>3</v>
      </c>
      <c r="D117" s="1" t="s">
        <v>8</v>
      </c>
      <c r="E117" s="2">
        <f t="shared" si="3"/>
        <v>38808</v>
      </c>
      <c r="F117" s="3">
        <v>593</v>
      </c>
      <c r="G117" s="1">
        <f t="shared" si="4"/>
        <v>474.40000000000003</v>
      </c>
      <c r="H117" s="3">
        <f t="shared" si="5"/>
        <v>118.59999999999997</v>
      </c>
    </row>
    <row r="118" spans="1:8" x14ac:dyDescent="0.2">
      <c r="A118" s="2">
        <v>38713</v>
      </c>
      <c r="B118" s="2" t="s">
        <v>13</v>
      </c>
      <c r="C118" s="1" t="s">
        <v>4</v>
      </c>
      <c r="D118" s="1" t="s">
        <v>7</v>
      </c>
      <c r="E118" s="2">
        <f t="shared" si="3"/>
        <v>38808</v>
      </c>
      <c r="F118" s="3">
        <v>1129</v>
      </c>
      <c r="G118" s="1">
        <f t="shared" si="4"/>
        <v>903.2</v>
      </c>
      <c r="H118" s="3">
        <f t="shared" si="5"/>
        <v>225.79999999999995</v>
      </c>
    </row>
    <row r="119" spans="1:8" x14ac:dyDescent="0.2">
      <c r="A119" s="2">
        <v>38721</v>
      </c>
      <c r="B119" s="2" t="s">
        <v>14</v>
      </c>
      <c r="C119" s="1" t="s">
        <v>3</v>
      </c>
      <c r="D119" s="1" t="s">
        <v>6</v>
      </c>
      <c r="E119" s="2">
        <f t="shared" si="3"/>
        <v>38838</v>
      </c>
      <c r="F119" s="3">
        <v>595</v>
      </c>
      <c r="G119" s="1">
        <f t="shared" si="4"/>
        <v>476</v>
      </c>
      <c r="H119" s="3">
        <f t="shared" si="5"/>
        <v>119</v>
      </c>
    </row>
    <row r="120" spans="1:8" x14ac:dyDescent="0.2">
      <c r="A120" s="2">
        <v>38722</v>
      </c>
      <c r="B120" s="2" t="s">
        <v>13</v>
      </c>
      <c r="C120" s="1" t="s">
        <v>19</v>
      </c>
      <c r="D120" s="1" t="s">
        <v>22</v>
      </c>
      <c r="E120" s="2">
        <f t="shared" si="3"/>
        <v>38838</v>
      </c>
      <c r="F120" s="3">
        <v>1185</v>
      </c>
      <c r="G120" s="1">
        <f t="shared" si="4"/>
        <v>948</v>
      </c>
      <c r="H120" s="3">
        <f t="shared" si="5"/>
        <v>237</v>
      </c>
    </row>
    <row r="121" spans="1:8" x14ac:dyDescent="0.2">
      <c r="A121" s="2">
        <v>38730</v>
      </c>
      <c r="B121" s="2" t="s">
        <v>14</v>
      </c>
      <c r="C121" s="1" t="s">
        <v>3</v>
      </c>
      <c r="D121" s="1" t="s">
        <v>8</v>
      </c>
      <c r="E121" s="2">
        <f t="shared" si="3"/>
        <v>38838</v>
      </c>
      <c r="F121" s="3">
        <v>597</v>
      </c>
      <c r="G121" s="1">
        <f t="shared" si="4"/>
        <v>477.6</v>
      </c>
      <c r="H121" s="3">
        <f t="shared" si="5"/>
        <v>119.39999999999998</v>
      </c>
    </row>
    <row r="122" spans="1:8" x14ac:dyDescent="0.2">
      <c r="A122" s="2">
        <v>38731</v>
      </c>
      <c r="B122" s="2" t="s">
        <v>13</v>
      </c>
      <c r="C122" s="1" t="s">
        <v>4</v>
      </c>
      <c r="D122" s="1" t="s">
        <v>7</v>
      </c>
      <c r="E122" s="2">
        <f t="shared" si="3"/>
        <v>38838</v>
      </c>
      <c r="F122" s="3">
        <v>1185</v>
      </c>
      <c r="G122" s="1">
        <f t="shared" si="4"/>
        <v>948</v>
      </c>
      <c r="H122" s="3">
        <f t="shared" si="5"/>
        <v>237</v>
      </c>
    </row>
    <row r="123" spans="1:8" x14ac:dyDescent="0.2">
      <c r="A123" s="2">
        <v>38739</v>
      </c>
      <c r="B123" s="2" t="s">
        <v>14</v>
      </c>
      <c r="C123" s="1" t="s">
        <v>3</v>
      </c>
      <c r="D123" s="1" t="s">
        <v>6</v>
      </c>
      <c r="E123" s="2">
        <f t="shared" si="3"/>
        <v>38838</v>
      </c>
      <c r="F123" s="3">
        <v>599</v>
      </c>
      <c r="G123" s="1">
        <f t="shared" si="4"/>
        <v>479.20000000000005</v>
      </c>
      <c r="H123" s="3">
        <f t="shared" si="5"/>
        <v>119.79999999999995</v>
      </c>
    </row>
    <row r="124" spans="1:8" x14ac:dyDescent="0.2">
      <c r="A124" s="2">
        <v>38740</v>
      </c>
      <c r="B124" s="2" t="s">
        <v>13</v>
      </c>
      <c r="C124" s="1" t="s">
        <v>19</v>
      </c>
      <c r="D124" s="1" t="s">
        <v>22</v>
      </c>
      <c r="E124" s="2">
        <f t="shared" si="3"/>
        <v>38838</v>
      </c>
      <c r="F124" s="3">
        <v>1206</v>
      </c>
      <c r="G124" s="1">
        <f t="shared" si="4"/>
        <v>964.80000000000007</v>
      </c>
      <c r="H124" s="3">
        <f t="shared" si="5"/>
        <v>241.19999999999993</v>
      </c>
    </row>
    <row r="125" spans="1:8" x14ac:dyDescent="0.2">
      <c r="A125" s="2">
        <v>38748</v>
      </c>
      <c r="B125" s="2" t="s">
        <v>14</v>
      </c>
      <c r="C125" s="1" t="s">
        <v>3</v>
      </c>
      <c r="D125" s="1" t="s">
        <v>8</v>
      </c>
      <c r="E125" s="2">
        <f t="shared" si="3"/>
        <v>38838</v>
      </c>
      <c r="F125" s="3">
        <v>601</v>
      </c>
      <c r="G125" s="1">
        <f t="shared" si="4"/>
        <v>480.8</v>
      </c>
      <c r="H125" s="3">
        <f t="shared" si="5"/>
        <v>120.19999999999999</v>
      </c>
    </row>
    <row r="126" spans="1:8" x14ac:dyDescent="0.2">
      <c r="A126" s="2">
        <v>38749</v>
      </c>
      <c r="B126" s="2" t="s">
        <v>13</v>
      </c>
      <c r="C126" s="1" t="s">
        <v>4</v>
      </c>
      <c r="D126" s="1" t="s">
        <v>7</v>
      </c>
      <c r="E126" s="2">
        <f t="shared" si="3"/>
        <v>38869</v>
      </c>
      <c r="F126" s="3">
        <v>1206</v>
      </c>
      <c r="G126" s="1">
        <f t="shared" si="4"/>
        <v>964.80000000000007</v>
      </c>
      <c r="H126" s="3">
        <f t="shared" si="5"/>
        <v>241.19999999999993</v>
      </c>
    </row>
    <row r="127" spans="1:8" x14ac:dyDescent="0.2">
      <c r="A127" s="2">
        <v>38757</v>
      </c>
      <c r="B127" s="2" t="s">
        <v>14</v>
      </c>
      <c r="C127" s="1" t="s">
        <v>3</v>
      </c>
      <c r="D127" s="1" t="s">
        <v>6</v>
      </c>
      <c r="E127" s="2">
        <f t="shared" si="3"/>
        <v>38869</v>
      </c>
      <c r="F127" s="3">
        <v>603</v>
      </c>
      <c r="G127" s="1">
        <f t="shared" si="4"/>
        <v>482.40000000000003</v>
      </c>
      <c r="H127" s="3">
        <f t="shared" si="5"/>
        <v>120.59999999999997</v>
      </c>
    </row>
    <row r="128" spans="1:8" x14ac:dyDescent="0.2">
      <c r="A128" s="2">
        <v>38758</v>
      </c>
      <c r="B128" s="2" t="s">
        <v>13</v>
      </c>
      <c r="C128" s="1" t="s">
        <v>19</v>
      </c>
      <c r="D128" s="1" t="s">
        <v>22</v>
      </c>
      <c r="E128" s="2">
        <f t="shared" si="3"/>
        <v>38869</v>
      </c>
      <c r="F128" s="3">
        <v>1241</v>
      </c>
      <c r="G128" s="1">
        <f t="shared" si="4"/>
        <v>992.80000000000007</v>
      </c>
      <c r="H128" s="3">
        <f t="shared" si="5"/>
        <v>248.19999999999993</v>
      </c>
    </row>
    <row r="129" spans="1:8" x14ac:dyDescent="0.2">
      <c r="A129" s="2">
        <v>38766</v>
      </c>
      <c r="B129" s="2" t="s">
        <v>14</v>
      </c>
      <c r="C129" s="1" t="s">
        <v>3</v>
      </c>
      <c r="D129" s="1" t="s">
        <v>8</v>
      </c>
      <c r="E129" s="2">
        <f t="shared" si="3"/>
        <v>38869</v>
      </c>
      <c r="F129" s="3">
        <v>605</v>
      </c>
      <c r="G129" s="1">
        <f t="shared" si="4"/>
        <v>484</v>
      </c>
      <c r="H129" s="3">
        <f t="shared" si="5"/>
        <v>121</v>
      </c>
    </row>
    <row r="130" spans="1:8" x14ac:dyDescent="0.2">
      <c r="A130" s="2">
        <v>38767</v>
      </c>
      <c r="B130" s="2" t="s">
        <v>13</v>
      </c>
      <c r="C130" s="1" t="s">
        <v>4</v>
      </c>
      <c r="D130" s="1" t="s">
        <v>7</v>
      </c>
      <c r="E130" s="2">
        <f t="shared" si="3"/>
        <v>38869</v>
      </c>
      <c r="F130" s="3">
        <v>1241</v>
      </c>
      <c r="G130" s="1">
        <f t="shared" si="4"/>
        <v>992.80000000000007</v>
      </c>
      <c r="H130" s="3">
        <f t="shared" si="5"/>
        <v>248.19999999999993</v>
      </c>
    </row>
    <row r="131" spans="1:8" x14ac:dyDescent="0.2">
      <c r="A131" s="2">
        <v>38775</v>
      </c>
      <c r="B131" s="2" t="s">
        <v>14</v>
      </c>
      <c r="C131" s="1" t="s">
        <v>3</v>
      </c>
      <c r="D131" s="1" t="s">
        <v>6</v>
      </c>
      <c r="E131" s="2">
        <f t="shared" si="3"/>
        <v>38869</v>
      </c>
      <c r="F131" s="3">
        <v>607</v>
      </c>
      <c r="G131" s="1">
        <f t="shared" si="4"/>
        <v>485.6</v>
      </c>
      <c r="H131" s="3">
        <f t="shared" si="5"/>
        <v>121.39999999999998</v>
      </c>
    </row>
    <row r="132" spans="1:8" x14ac:dyDescent="0.2">
      <c r="A132" s="2">
        <v>38776</v>
      </c>
      <c r="B132" s="2" t="s">
        <v>13</v>
      </c>
      <c r="C132" s="1" t="s">
        <v>19</v>
      </c>
      <c r="D132" s="1" t="s">
        <v>22</v>
      </c>
      <c r="E132" s="2">
        <f t="shared" si="3"/>
        <v>38869</v>
      </c>
      <c r="F132" s="3">
        <v>1297</v>
      </c>
      <c r="G132" s="1">
        <f t="shared" si="4"/>
        <v>1037.6000000000001</v>
      </c>
      <c r="H132" s="3">
        <f t="shared" si="5"/>
        <v>259.39999999999986</v>
      </c>
    </row>
    <row r="133" spans="1:8" x14ac:dyDescent="0.2">
      <c r="A133" s="2">
        <v>38784</v>
      </c>
      <c r="B133" s="2" t="s">
        <v>14</v>
      </c>
      <c r="C133" s="1" t="s">
        <v>3</v>
      </c>
      <c r="D133" s="1" t="s">
        <v>8</v>
      </c>
      <c r="E133" s="2">
        <f t="shared" si="3"/>
        <v>38899</v>
      </c>
      <c r="F133" s="3">
        <v>609</v>
      </c>
      <c r="G133" s="1">
        <f t="shared" si="4"/>
        <v>487.20000000000005</v>
      </c>
      <c r="H133" s="3">
        <f t="shared" si="5"/>
        <v>121.79999999999995</v>
      </c>
    </row>
    <row r="134" spans="1:8" x14ac:dyDescent="0.2">
      <c r="A134" s="2">
        <v>38785</v>
      </c>
      <c r="B134" s="2" t="s">
        <v>13</v>
      </c>
      <c r="C134" s="1" t="s">
        <v>19</v>
      </c>
      <c r="D134" s="1" t="s">
        <v>7</v>
      </c>
      <c r="E134" s="2">
        <f t="shared" si="3"/>
        <v>38899</v>
      </c>
      <c r="F134" s="3">
        <v>1353</v>
      </c>
      <c r="G134" s="1">
        <f t="shared" si="4"/>
        <v>1082.4000000000001</v>
      </c>
      <c r="H134" s="3">
        <f t="shared" si="5"/>
        <v>270.59999999999991</v>
      </c>
    </row>
    <row r="135" spans="1:8" x14ac:dyDescent="0.2">
      <c r="A135" s="2">
        <v>38793</v>
      </c>
      <c r="B135" s="2" t="s">
        <v>14</v>
      </c>
      <c r="C135" s="1" t="s">
        <v>3</v>
      </c>
      <c r="D135" s="1" t="s">
        <v>6</v>
      </c>
      <c r="E135" s="2">
        <f t="shared" si="3"/>
        <v>38899</v>
      </c>
      <c r="F135" s="3">
        <v>611</v>
      </c>
      <c r="G135" s="1">
        <f t="shared" si="4"/>
        <v>488.8</v>
      </c>
      <c r="H135" s="3">
        <f t="shared" si="5"/>
        <v>122.19999999999999</v>
      </c>
    </row>
    <row r="136" spans="1:8" x14ac:dyDescent="0.2">
      <c r="A136" s="2">
        <v>38794</v>
      </c>
      <c r="B136" s="2" t="s">
        <v>13</v>
      </c>
      <c r="C136" s="1" t="s">
        <v>19</v>
      </c>
      <c r="D136" s="1" t="s">
        <v>22</v>
      </c>
      <c r="E136" s="2">
        <f t="shared" si="3"/>
        <v>38899</v>
      </c>
      <c r="F136" s="3">
        <v>1364</v>
      </c>
      <c r="G136" s="1">
        <f t="shared" si="4"/>
        <v>1091.2</v>
      </c>
      <c r="H136" s="3">
        <f t="shared" si="5"/>
        <v>272.79999999999995</v>
      </c>
    </row>
    <row r="137" spans="1:8" x14ac:dyDescent="0.2">
      <c r="A137" s="2">
        <v>38802</v>
      </c>
      <c r="B137" s="2" t="s">
        <v>14</v>
      </c>
      <c r="C137" s="1" t="s">
        <v>11</v>
      </c>
      <c r="D137" s="1" t="s">
        <v>8</v>
      </c>
      <c r="E137" s="2">
        <f t="shared" si="3"/>
        <v>38899</v>
      </c>
      <c r="F137" s="3">
        <v>613</v>
      </c>
      <c r="G137" s="1">
        <f t="shared" si="4"/>
        <v>490.40000000000003</v>
      </c>
      <c r="H137" s="3">
        <f t="shared" si="5"/>
        <v>122.59999999999997</v>
      </c>
    </row>
    <row r="138" spans="1:8" x14ac:dyDescent="0.2">
      <c r="A138" s="2">
        <v>38803</v>
      </c>
      <c r="B138" s="2" t="s">
        <v>13</v>
      </c>
      <c r="C138" s="1" t="s">
        <v>4</v>
      </c>
      <c r="D138" s="1" t="s">
        <v>7</v>
      </c>
      <c r="E138" s="2">
        <f t="shared" si="3"/>
        <v>38899</v>
      </c>
      <c r="F138" s="3">
        <v>1364</v>
      </c>
      <c r="G138" s="1">
        <f t="shared" si="4"/>
        <v>1091.2</v>
      </c>
      <c r="H138" s="3">
        <f t="shared" si="5"/>
        <v>272.79999999999995</v>
      </c>
    </row>
    <row r="139" spans="1:8" x14ac:dyDescent="0.2">
      <c r="A139" s="2">
        <v>38811</v>
      </c>
      <c r="B139" s="2" t="s">
        <v>14</v>
      </c>
      <c r="C139" s="1" t="s">
        <v>11</v>
      </c>
      <c r="D139" s="1" t="s">
        <v>6</v>
      </c>
      <c r="E139" s="2">
        <f t="shared" si="3"/>
        <v>38930</v>
      </c>
      <c r="F139" s="3">
        <v>613</v>
      </c>
      <c r="G139" s="1">
        <f t="shared" si="4"/>
        <v>490.40000000000003</v>
      </c>
      <c r="H139" s="3">
        <f t="shared" si="5"/>
        <v>122.59999999999997</v>
      </c>
    </row>
    <row r="140" spans="1:8" x14ac:dyDescent="0.2">
      <c r="A140" s="2">
        <v>38812</v>
      </c>
      <c r="B140" s="2" t="s">
        <v>13</v>
      </c>
      <c r="C140" s="1" t="s">
        <v>19</v>
      </c>
      <c r="D140" s="1" t="s">
        <v>22</v>
      </c>
      <c r="E140" s="2">
        <f t="shared" si="3"/>
        <v>38930</v>
      </c>
      <c r="F140" s="3">
        <v>1409</v>
      </c>
      <c r="G140" s="1">
        <f t="shared" si="4"/>
        <v>1127.2</v>
      </c>
      <c r="H140" s="3">
        <f t="shared" si="5"/>
        <v>281.79999999999995</v>
      </c>
    </row>
    <row r="141" spans="1:8" x14ac:dyDescent="0.2">
      <c r="A141" s="2">
        <v>38820</v>
      </c>
      <c r="B141" s="2" t="s">
        <v>14</v>
      </c>
      <c r="C141" s="1" t="s">
        <v>3</v>
      </c>
      <c r="D141" s="1" t="s">
        <v>8</v>
      </c>
      <c r="E141" s="2">
        <f t="shared" si="3"/>
        <v>38930</v>
      </c>
      <c r="F141" s="3">
        <v>615</v>
      </c>
      <c r="G141" s="1">
        <f t="shared" si="4"/>
        <v>492</v>
      </c>
      <c r="H141" s="3">
        <f t="shared" si="5"/>
        <v>123</v>
      </c>
    </row>
    <row r="142" spans="1:8" x14ac:dyDescent="0.2">
      <c r="A142" s="2">
        <v>38821</v>
      </c>
      <c r="B142" s="2" t="s">
        <v>13</v>
      </c>
      <c r="C142" s="1" t="s">
        <v>19</v>
      </c>
      <c r="D142" s="1" t="s">
        <v>7</v>
      </c>
      <c r="E142" s="2">
        <f t="shared" si="3"/>
        <v>38930</v>
      </c>
      <c r="F142" s="3">
        <v>1465</v>
      </c>
      <c r="G142" s="1">
        <f t="shared" si="4"/>
        <v>1172</v>
      </c>
      <c r="H142" s="3">
        <f t="shared" si="5"/>
        <v>293</v>
      </c>
    </row>
    <row r="143" spans="1:8" x14ac:dyDescent="0.2">
      <c r="A143" s="2">
        <v>38829</v>
      </c>
      <c r="B143" s="2" t="s">
        <v>14</v>
      </c>
      <c r="C143" s="1" t="s">
        <v>11</v>
      </c>
      <c r="D143" s="1" t="s">
        <v>6</v>
      </c>
      <c r="E143" s="2">
        <f t="shared" si="3"/>
        <v>38930</v>
      </c>
      <c r="F143" s="3">
        <v>617</v>
      </c>
      <c r="G143" s="1">
        <f t="shared" si="4"/>
        <v>493.6</v>
      </c>
      <c r="H143" s="3">
        <f t="shared" si="5"/>
        <v>123.39999999999998</v>
      </c>
    </row>
    <row r="144" spans="1:8" x14ac:dyDescent="0.2">
      <c r="A144" s="2">
        <v>38830</v>
      </c>
      <c r="B144" s="2" t="s">
        <v>13</v>
      </c>
      <c r="C144" s="1" t="s">
        <v>19</v>
      </c>
      <c r="D144" s="1" t="s">
        <v>22</v>
      </c>
      <c r="E144" s="2">
        <f t="shared" si="3"/>
        <v>38930</v>
      </c>
      <c r="F144" s="3">
        <v>1521</v>
      </c>
      <c r="G144" s="1">
        <f t="shared" si="4"/>
        <v>1216.8</v>
      </c>
      <c r="H144" s="3">
        <f t="shared" si="5"/>
        <v>304.20000000000005</v>
      </c>
    </row>
    <row r="145" spans="1:8" x14ac:dyDescent="0.2">
      <c r="A145" s="2">
        <v>38838</v>
      </c>
      <c r="B145" s="2" t="s">
        <v>14</v>
      </c>
      <c r="C145" s="1" t="s">
        <v>11</v>
      </c>
      <c r="D145" s="1" t="s">
        <v>8</v>
      </c>
      <c r="E145" s="2">
        <f t="shared" si="3"/>
        <v>38961</v>
      </c>
      <c r="F145" s="3">
        <v>617</v>
      </c>
      <c r="G145" s="1">
        <f t="shared" si="4"/>
        <v>493.6</v>
      </c>
      <c r="H145" s="3">
        <f t="shared" si="5"/>
        <v>123.39999999999998</v>
      </c>
    </row>
    <row r="146" spans="1:8" x14ac:dyDescent="0.2">
      <c r="A146" s="2">
        <v>38839</v>
      </c>
      <c r="B146" s="2" t="s">
        <v>13</v>
      </c>
      <c r="C146" s="1" t="s">
        <v>4</v>
      </c>
      <c r="D146" s="1" t="s">
        <v>7</v>
      </c>
      <c r="E146" s="2">
        <f t="shared" si="3"/>
        <v>38961</v>
      </c>
      <c r="F146" s="3">
        <v>1521</v>
      </c>
      <c r="G146" s="1">
        <f t="shared" si="4"/>
        <v>1216.8</v>
      </c>
      <c r="H146" s="3">
        <f t="shared" si="5"/>
        <v>304.20000000000005</v>
      </c>
    </row>
    <row r="147" spans="1:8" x14ac:dyDescent="0.2">
      <c r="A147" s="2">
        <v>38847</v>
      </c>
      <c r="B147" s="2" t="s">
        <v>14</v>
      </c>
      <c r="C147" s="1" t="s">
        <v>11</v>
      </c>
      <c r="D147" s="1" t="s">
        <v>6</v>
      </c>
      <c r="E147" s="2">
        <f t="shared" ref="E147:E210" si="6">DATE(YEAR(A147),MONTH(A147)+4,1)</f>
        <v>38961</v>
      </c>
      <c r="F147" s="3">
        <v>619</v>
      </c>
      <c r="G147" s="1">
        <f t="shared" si="4"/>
        <v>495.20000000000005</v>
      </c>
      <c r="H147" s="3">
        <f t="shared" si="5"/>
        <v>123.79999999999995</v>
      </c>
    </row>
    <row r="148" spans="1:8" x14ac:dyDescent="0.2">
      <c r="A148" s="2">
        <v>38848</v>
      </c>
      <c r="B148" s="2" t="s">
        <v>13</v>
      </c>
      <c r="C148" s="1" t="s">
        <v>4</v>
      </c>
      <c r="D148" s="1" t="s">
        <v>22</v>
      </c>
      <c r="E148" s="2">
        <f t="shared" si="6"/>
        <v>38961</v>
      </c>
      <c r="F148" s="3">
        <v>1577</v>
      </c>
      <c r="G148" s="1">
        <f t="shared" si="4"/>
        <v>1261.6000000000001</v>
      </c>
      <c r="H148" s="3">
        <f t="shared" si="5"/>
        <v>315.39999999999986</v>
      </c>
    </row>
    <row r="149" spans="1:8" x14ac:dyDescent="0.2">
      <c r="A149" s="2">
        <v>38856</v>
      </c>
      <c r="B149" s="2" t="s">
        <v>14</v>
      </c>
      <c r="C149" s="1" t="s">
        <v>11</v>
      </c>
      <c r="D149" s="1" t="s">
        <v>8</v>
      </c>
      <c r="E149" s="2">
        <f t="shared" si="6"/>
        <v>38961</v>
      </c>
      <c r="F149" s="3">
        <v>619</v>
      </c>
      <c r="G149" s="1">
        <f t="shared" si="4"/>
        <v>495.20000000000005</v>
      </c>
      <c r="H149" s="3">
        <f t="shared" si="5"/>
        <v>123.79999999999995</v>
      </c>
    </row>
    <row r="150" spans="1:8" x14ac:dyDescent="0.2">
      <c r="A150" s="2">
        <v>38857</v>
      </c>
      <c r="B150" s="2" t="s">
        <v>13</v>
      </c>
      <c r="C150" s="1" t="s">
        <v>17</v>
      </c>
      <c r="D150" s="1" t="s">
        <v>7</v>
      </c>
      <c r="E150" s="2">
        <f t="shared" si="6"/>
        <v>38961</v>
      </c>
      <c r="F150" s="3">
        <v>1597</v>
      </c>
      <c r="G150" s="1">
        <f t="shared" si="4"/>
        <v>1277.6000000000001</v>
      </c>
      <c r="H150" s="3">
        <f t="shared" si="5"/>
        <v>319.39999999999986</v>
      </c>
    </row>
    <row r="151" spans="1:8" x14ac:dyDescent="0.2">
      <c r="A151" s="2">
        <v>38865</v>
      </c>
      <c r="B151" s="2" t="s">
        <v>14</v>
      </c>
      <c r="C151" s="1" t="s">
        <v>11</v>
      </c>
      <c r="D151" s="1" t="s">
        <v>6</v>
      </c>
      <c r="E151" s="2">
        <f t="shared" si="6"/>
        <v>38961</v>
      </c>
      <c r="F151" s="3">
        <v>621</v>
      </c>
      <c r="G151" s="1">
        <f t="shared" ref="G151:G214" si="7">F151*0.8</f>
        <v>496.8</v>
      </c>
      <c r="H151" s="3">
        <f t="shared" ref="H151:H214" si="8">F151-G151</f>
        <v>124.19999999999999</v>
      </c>
    </row>
    <row r="152" spans="1:8" x14ac:dyDescent="0.2">
      <c r="A152" s="2">
        <v>38866</v>
      </c>
      <c r="B152" s="2" t="s">
        <v>13</v>
      </c>
      <c r="C152" s="1" t="s">
        <v>17</v>
      </c>
      <c r="D152" s="1" t="s">
        <v>22</v>
      </c>
      <c r="E152" s="2">
        <f t="shared" si="6"/>
        <v>38961</v>
      </c>
      <c r="F152" s="3">
        <v>1597</v>
      </c>
      <c r="G152" s="1">
        <f t="shared" si="7"/>
        <v>1277.6000000000001</v>
      </c>
      <c r="H152" s="3">
        <f t="shared" si="8"/>
        <v>319.39999999999986</v>
      </c>
    </row>
    <row r="153" spans="1:8" x14ac:dyDescent="0.2">
      <c r="A153" s="2">
        <v>38874</v>
      </c>
      <c r="B153" s="2" t="s">
        <v>14</v>
      </c>
      <c r="C153" s="1" t="s">
        <v>11</v>
      </c>
      <c r="D153" s="1" t="s">
        <v>8</v>
      </c>
      <c r="E153" s="2">
        <f t="shared" si="6"/>
        <v>38991</v>
      </c>
      <c r="F153" s="3">
        <v>621</v>
      </c>
      <c r="G153" s="1">
        <f t="shared" si="7"/>
        <v>496.8</v>
      </c>
      <c r="H153" s="3">
        <f t="shared" si="8"/>
        <v>124.19999999999999</v>
      </c>
    </row>
    <row r="154" spans="1:8" x14ac:dyDescent="0.2">
      <c r="A154" s="2">
        <v>38875</v>
      </c>
      <c r="B154" s="2" t="s">
        <v>13</v>
      </c>
      <c r="C154" s="1" t="s">
        <v>17</v>
      </c>
      <c r="D154" s="1" t="s">
        <v>7</v>
      </c>
      <c r="E154" s="2">
        <f t="shared" si="6"/>
        <v>38991</v>
      </c>
      <c r="F154" s="3">
        <v>1608</v>
      </c>
      <c r="G154" s="1">
        <f t="shared" si="7"/>
        <v>1286.4000000000001</v>
      </c>
      <c r="H154" s="3">
        <f t="shared" si="8"/>
        <v>321.59999999999991</v>
      </c>
    </row>
    <row r="155" spans="1:8" x14ac:dyDescent="0.2">
      <c r="A155" s="2">
        <v>38883</v>
      </c>
      <c r="B155" s="2" t="s">
        <v>14</v>
      </c>
      <c r="C155" s="1" t="s">
        <v>11</v>
      </c>
      <c r="D155" s="1" t="s">
        <v>6</v>
      </c>
      <c r="E155" s="2">
        <f t="shared" si="6"/>
        <v>38991</v>
      </c>
      <c r="F155" s="3">
        <v>623</v>
      </c>
      <c r="G155" s="1">
        <f t="shared" si="7"/>
        <v>498.40000000000003</v>
      </c>
      <c r="H155" s="3">
        <f t="shared" si="8"/>
        <v>124.59999999999997</v>
      </c>
    </row>
    <row r="156" spans="1:8" x14ac:dyDescent="0.2">
      <c r="A156" s="2">
        <v>38884</v>
      </c>
      <c r="B156" s="2" t="s">
        <v>13</v>
      </c>
      <c r="C156" s="1" t="s">
        <v>17</v>
      </c>
      <c r="D156" s="1" t="s">
        <v>22</v>
      </c>
      <c r="E156" s="2">
        <f t="shared" si="6"/>
        <v>38991</v>
      </c>
      <c r="F156" s="3">
        <v>1608</v>
      </c>
      <c r="G156" s="1">
        <f t="shared" si="7"/>
        <v>1286.4000000000001</v>
      </c>
      <c r="H156" s="3">
        <f t="shared" si="8"/>
        <v>321.59999999999991</v>
      </c>
    </row>
    <row r="157" spans="1:8" x14ac:dyDescent="0.2">
      <c r="A157" s="2">
        <v>38892</v>
      </c>
      <c r="B157" s="2" t="s">
        <v>14</v>
      </c>
      <c r="C157" s="1" t="s">
        <v>11</v>
      </c>
      <c r="D157" s="1" t="s">
        <v>8</v>
      </c>
      <c r="E157" s="2">
        <f t="shared" si="6"/>
        <v>38991</v>
      </c>
      <c r="F157" s="3">
        <v>623</v>
      </c>
      <c r="G157" s="1">
        <f t="shared" si="7"/>
        <v>498.40000000000003</v>
      </c>
      <c r="H157" s="3">
        <f t="shared" si="8"/>
        <v>124.59999999999997</v>
      </c>
    </row>
    <row r="158" spans="1:8" x14ac:dyDescent="0.2">
      <c r="A158" s="2">
        <v>38893</v>
      </c>
      <c r="B158" s="2" t="s">
        <v>13</v>
      </c>
      <c r="C158" s="1" t="s">
        <v>17</v>
      </c>
      <c r="D158" s="1" t="s">
        <v>7</v>
      </c>
      <c r="E158" s="2">
        <f t="shared" si="6"/>
        <v>38991</v>
      </c>
      <c r="F158" s="3">
        <v>1619</v>
      </c>
      <c r="G158" s="1">
        <f t="shared" si="7"/>
        <v>1295.2</v>
      </c>
      <c r="H158" s="3">
        <f t="shared" si="8"/>
        <v>323.79999999999995</v>
      </c>
    </row>
    <row r="159" spans="1:8" x14ac:dyDescent="0.2">
      <c r="A159" s="2">
        <v>38901</v>
      </c>
      <c r="B159" s="2" t="s">
        <v>14</v>
      </c>
      <c r="C159" s="1" t="s">
        <v>11</v>
      </c>
      <c r="D159" s="1" t="s">
        <v>6</v>
      </c>
      <c r="E159" s="2">
        <f t="shared" si="6"/>
        <v>39022</v>
      </c>
      <c r="F159" s="3">
        <v>625</v>
      </c>
      <c r="G159" s="1">
        <f t="shared" si="7"/>
        <v>500</v>
      </c>
      <c r="H159" s="3">
        <f t="shared" si="8"/>
        <v>125</v>
      </c>
    </row>
    <row r="160" spans="1:8" x14ac:dyDescent="0.2">
      <c r="A160" s="2">
        <v>38902</v>
      </c>
      <c r="B160" s="2" t="s">
        <v>13</v>
      </c>
      <c r="C160" s="1" t="s">
        <v>17</v>
      </c>
      <c r="D160" s="1" t="s">
        <v>22</v>
      </c>
      <c r="E160" s="2">
        <f t="shared" si="6"/>
        <v>39022</v>
      </c>
      <c r="F160" s="3">
        <v>1619</v>
      </c>
      <c r="G160" s="1">
        <f t="shared" si="7"/>
        <v>1295.2</v>
      </c>
      <c r="H160" s="3">
        <f t="shared" si="8"/>
        <v>323.79999999999995</v>
      </c>
    </row>
    <row r="161" spans="1:8" x14ac:dyDescent="0.2">
      <c r="A161" s="2">
        <v>38910</v>
      </c>
      <c r="B161" s="2" t="s">
        <v>14</v>
      </c>
      <c r="C161" s="1" t="s">
        <v>11</v>
      </c>
      <c r="D161" s="1" t="s">
        <v>8</v>
      </c>
      <c r="E161" s="2">
        <f t="shared" si="6"/>
        <v>39022</v>
      </c>
      <c r="F161" s="3">
        <v>625</v>
      </c>
      <c r="G161" s="1">
        <f t="shared" si="7"/>
        <v>500</v>
      </c>
      <c r="H161" s="3">
        <f t="shared" si="8"/>
        <v>125</v>
      </c>
    </row>
    <row r="162" spans="1:8" x14ac:dyDescent="0.2">
      <c r="A162" s="2">
        <v>38911</v>
      </c>
      <c r="B162" s="2" t="s">
        <v>13</v>
      </c>
      <c r="C162" s="1" t="s">
        <v>17</v>
      </c>
      <c r="D162" s="1" t="s">
        <v>7</v>
      </c>
      <c r="E162" s="2">
        <f t="shared" si="6"/>
        <v>39022</v>
      </c>
      <c r="F162" s="3">
        <v>1630</v>
      </c>
      <c r="G162" s="1">
        <f t="shared" si="7"/>
        <v>1304</v>
      </c>
      <c r="H162" s="3">
        <f t="shared" si="8"/>
        <v>326</v>
      </c>
    </row>
    <row r="163" spans="1:8" x14ac:dyDescent="0.2">
      <c r="A163" s="2">
        <v>38919</v>
      </c>
      <c r="B163" s="2" t="s">
        <v>14</v>
      </c>
      <c r="C163" s="1" t="s">
        <v>11</v>
      </c>
      <c r="D163" s="1" t="s">
        <v>6</v>
      </c>
      <c r="E163" s="2">
        <f t="shared" si="6"/>
        <v>39022</v>
      </c>
      <c r="F163" s="3">
        <v>627</v>
      </c>
      <c r="G163" s="1">
        <f t="shared" si="7"/>
        <v>501.6</v>
      </c>
      <c r="H163" s="3">
        <f t="shared" si="8"/>
        <v>125.39999999999998</v>
      </c>
    </row>
    <row r="164" spans="1:8" x14ac:dyDescent="0.2">
      <c r="A164" s="2">
        <v>38920</v>
      </c>
      <c r="B164" s="2" t="s">
        <v>13</v>
      </c>
      <c r="C164" s="1" t="s">
        <v>17</v>
      </c>
      <c r="D164" s="1" t="s">
        <v>22</v>
      </c>
      <c r="E164" s="2">
        <f t="shared" si="6"/>
        <v>39022</v>
      </c>
      <c r="F164" s="3">
        <v>1630</v>
      </c>
      <c r="G164" s="1">
        <f t="shared" si="7"/>
        <v>1304</v>
      </c>
      <c r="H164" s="3">
        <f t="shared" si="8"/>
        <v>326</v>
      </c>
    </row>
    <row r="165" spans="1:8" x14ac:dyDescent="0.2">
      <c r="A165" s="2">
        <v>38928</v>
      </c>
      <c r="B165" s="2" t="s">
        <v>14</v>
      </c>
      <c r="C165" s="1" t="s">
        <v>11</v>
      </c>
      <c r="D165" s="1" t="s">
        <v>8</v>
      </c>
      <c r="E165" s="2">
        <f t="shared" si="6"/>
        <v>39022</v>
      </c>
      <c r="F165" s="3">
        <v>627</v>
      </c>
      <c r="G165" s="1">
        <f t="shared" si="7"/>
        <v>501.6</v>
      </c>
      <c r="H165" s="3">
        <f t="shared" si="8"/>
        <v>125.39999999999998</v>
      </c>
    </row>
    <row r="166" spans="1:8" x14ac:dyDescent="0.2">
      <c r="A166" s="2">
        <v>38929</v>
      </c>
      <c r="B166" s="2" t="s">
        <v>13</v>
      </c>
      <c r="C166" s="1" t="s">
        <v>4</v>
      </c>
      <c r="D166" s="1" t="s">
        <v>7</v>
      </c>
      <c r="E166" s="2">
        <f t="shared" si="6"/>
        <v>39022</v>
      </c>
      <c r="F166" s="3">
        <v>1633</v>
      </c>
      <c r="G166" s="1">
        <f t="shared" si="7"/>
        <v>1306.4000000000001</v>
      </c>
      <c r="H166" s="3">
        <f t="shared" si="8"/>
        <v>326.59999999999991</v>
      </c>
    </row>
    <row r="167" spans="1:8" x14ac:dyDescent="0.2">
      <c r="A167" s="2">
        <v>38937</v>
      </c>
      <c r="B167" s="2" t="s">
        <v>14</v>
      </c>
      <c r="C167" s="1" t="s">
        <v>11</v>
      </c>
      <c r="D167" s="1" t="s">
        <v>6</v>
      </c>
      <c r="E167" s="2">
        <f t="shared" si="6"/>
        <v>39052</v>
      </c>
      <c r="F167" s="3">
        <v>629</v>
      </c>
      <c r="G167" s="1">
        <f t="shared" si="7"/>
        <v>503.20000000000005</v>
      </c>
      <c r="H167" s="3">
        <f t="shared" si="8"/>
        <v>125.79999999999995</v>
      </c>
    </row>
    <row r="168" spans="1:8" x14ac:dyDescent="0.2">
      <c r="A168" s="2">
        <v>38938</v>
      </c>
      <c r="B168" s="2" t="s">
        <v>13</v>
      </c>
      <c r="C168" s="1" t="s">
        <v>17</v>
      </c>
      <c r="D168" s="1" t="s">
        <v>22</v>
      </c>
      <c r="E168" s="2">
        <f t="shared" si="6"/>
        <v>39052</v>
      </c>
      <c r="F168" s="3">
        <v>1641</v>
      </c>
      <c r="G168" s="1">
        <f t="shared" si="7"/>
        <v>1312.8000000000002</v>
      </c>
      <c r="H168" s="3">
        <f t="shared" si="8"/>
        <v>328.19999999999982</v>
      </c>
    </row>
    <row r="169" spans="1:8" x14ac:dyDescent="0.2">
      <c r="A169" s="2">
        <v>38946</v>
      </c>
      <c r="B169" s="2" t="s">
        <v>14</v>
      </c>
      <c r="C169" s="1" t="s">
        <v>11</v>
      </c>
      <c r="D169" s="1" t="s">
        <v>8</v>
      </c>
      <c r="E169" s="2">
        <f t="shared" si="6"/>
        <v>39052</v>
      </c>
      <c r="F169" s="3">
        <v>629</v>
      </c>
      <c r="G169" s="1">
        <f t="shared" si="7"/>
        <v>503.20000000000005</v>
      </c>
      <c r="H169" s="3">
        <f t="shared" si="8"/>
        <v>125.79999999999995</v>
      </c>
    </row>
    <row r="170" spans="1:8" x14ac:dyDescent="0.2">
      <c r="A170" s="2">
        <v>38947</v>
      </c>
      <c r="B170" s="2" t="s">
        <v>13</v>
      </c>
      <c r="C170" s="1" t="s">
        <v>17</v>
      </c>
      <c r="D170" s="1" t="s">
        <v>7</v>
      </c>
      <c r="E170" s="2">
        <f t="shared" si="6"/>
        <v>39052</v>
      </c>
      <c r="F170" s="3">
        <v>1641</v>
      </c>
      <c r="G170" s="1">
        <f t="shared" si="7"/>
        <v>1312.8000000000002</v>
      </c>
      <c r="H170" s="3">
        <f t="shared" si="8"/>
        <v>328.19999999999982</v>
      </c>
    </row>
    <row r="171" spans="1:8" x14ac:dyDescent="0.2">
      <c r="A171" s="2">
        <v>38955</v>
      </c>
      <c r="B171" s="2" t="s">
        <v>14</v>
      </c>
      <c r="C171" s="1" t="s">
        <v>11</v>
      </c>
      <c r="D171" s="1" t="s">
        <v>6</v>
      </c>
      <c r="E171" s="2">
        <f t="shared" si="6"/>
        <v>39052</v>
      </c>
      <c r="F171" s="3">
        <v>631</v>
      </c>
      <c r="G171" s="1">
        <f t="shared" si="7"/>
        <v>504.8</v>
      </c>
      <c r="H171" s="3">
        <f t="shared" si="8"/>
        <v>126.19999999999999</v>
      </c>
    </row>
    <row r="172" spans="1:8" x14ac:dyDescent="0.2">
      <c r="A172" s="2">
        <v>38956</v>
      </c>
      <c r="B172" s="2" t="s">
        <v>13</v>
      </c>
      <c r="C172" s="1" t="s">
        <v>17</v>
      </c>
      <c r="D172" s="1" t="s">
        <v>22</v>
      </c>
      <c r="E172" s="2">
        <f t="shared" si="6"/>
        <v>39052</v>
      </c>
      <c r="F172" s="3">
        <v>1652</v>
      </c>
      <c r="G172" s="1">
        <f t="shared" si="7"/>
        <v>1321.6000000000001</v>
      </c>
      <c r="H172" s="3">
        <f t="shared" si="8"/>
        <v>330.39999999999986</v>
      </c>
    </row>
    <row r="173" spans="1:8" x14ac:dyDescent="0.2">
      <c r="A173" s="2">
        <v>38964</v>
      </c>
      <c r="B173" s="2" t="s">
        <v>14</v>
      </c>
      <c r="C173" s="1" t="s">
        <v>11</v>
      </c>
      <c r="D173" s="1" t="s">
        <v>8</v>
      </c>
      <c r="E173" s="2">
        <f t="shared" si="6"/>
        <v>39083</v>
      </c>
      <c r="F173" s="3">
        <v>631</v>
      </c>
      <c r="G173" s="1">
        <f t="shared" si="7"/>
        <v>504.8</v>
      </c>
      <c r="H173" s="3">
        <f t="shared" si="8"/>
        <v>126.19999999999999</v>
      </c>
    </row>
    <row r="174" spans="1:8" x14ac:dyDescent="0.2">
      <c r="A174" s="2">
        <v>38965</v>
      </c>
      <c r="B174" s="2" t="s">
        <v>13</v>
      </c>
      <c r="C174" s="1" t="s">
        <v>17</v>
      </c>
      <c r="D174" s="1" t="s">
        <v>7</v>
      </c>
      <c r="E174" s="2">
        <f t="shared" si="6"/>
        <v>39083</v>
      </c>
      <c r="F174" s="3">
        <v>1652</v>
      </c>
      <c r="G174" s="1">
        <f t="shared" si="7"/>
        <v>1321.6000000000001</v>
      </c>
      <c r="H174" s="3">
        <f t="shared" si="8"/>
        <v>330.39999999999986</v>
      </c>
    </row>
    <row r="175" spans="1:8" x14ac:dyDescent="0.2">
      <c r="A175" s="2">
        <v>38973</v>
      </c>
      <c r="B175" s="2" t="s">
        <v>14</v>
      </c>
      <c r="C175" s="1" t="s">
        <v>11</v>
      </c>
      <c r="D175" s="1" t="s">
        <v>6</v>
      </c>
      <c r="E175" s="2">
        <f t="shared" si="6"/>
        <v>39083</v>
      </c>
      <c r="F175" s="3">
        <v>633</v>
      </c>
      <c r="G175" s="1">
        <f t="shared" si="7"/>
        <v>506.40000000000003</v>
      </c>
      <c r="H175" s="3">
        <f t="shared" si="8"/>
        <v>126.59999999999997</v>
      </c>
    </row>
    <row r="176" spans="1:8" x14ac:dyDescent="0.2">
      <c r="A176" s="2">
        <v>38974</v>
      </c>
      <c r="B176" s="2" t="s">
        <v>13</v>
      </c>
      <c r="C176" s="1" t="s">
        <v>17</v>
      </c>
      <c r="D176" s="1" t="s">
        <v>22</v>
      </c>
      <c r="E176" s="2">
        <f t="shared" si="6"/>
        <v>39083</v>
      </c>
      <c r="F176" s="3">
        <v>1663</v>
      </c>
      <c r="G176" s="1">
        <f t="shared" si="7"/>
        <v>1330.4</v>
      </c>
      <c r="H176" s="3">
        <f t="shared" si="8"/>
        <v>332.59999999999991</v>
      </c>
    </row>
    <row r="177" spans="1:8" x14ac:dyDescent="0.2">
      <c r="A177" s="2">
        <v>38982</v>
      </c>
      <c r="B177" s="2" t="s">
        <v>14</v>
      </c>
      <c r="C177" s="1" t="s">
        <v>11</v>
      </c>
      <c r="D177" s="1" t="s">
        <v>8</v>
      </c>
      <c r="E177" s="2">
        <f t="shared" si="6"/>
        <v>39083</v>
      </c>
      <c r="F177" s="3">
        <v>633</v>
      </c>
      <c r="G177" s="1">
        <f t="shared" si="7"/>
        <v>506.40000000000003</v>
      </c>
      <c r="H177" s="3">
        <f t="shared" si="8"/>
        <v>126.59999999999997</v>
      </c>
    </row>
    <row r="178" spans="1:8" x14ac:dyDescent="0.2">
      <c r="A178" s="2">
        <v>38983</v>
      </c>
      <c r="B178" s="2" t="s">
        <v>13</v>
      </c>
      <c r="C178" s="1" t="s">
        <v>17</v>
      </c>
      <c r="D178" s="1" t="s">
        <v>7</v>
      </c>
      <c r="E178" s="2">
        <f t="shared" si="6"/>
        <v>39083</v>
      </c>
      <c r="F178" s="3">
        <v>1663</v>
      </c>
      <c r="G178" s="1">
        <f t="shared" si="7"/>
        <v>1330.4</v>
      </c>
      <c r="H178" s="3">
        <f t="shared" si="8"/>
        <v>332.59999999999991</v>
      </c>
    </row>
    <row r="179" spans="1:8" x14ac:dyDescent="0.2">
      <c r="A179" s="2">
        <v>38991</v>
      </c>
      <c r="B179" s="2" t="s">
        <v>14</v>
      </c>
      <c r="C179" s="1" t="s">
        <v>11</v>
      </c>
      <c r="D179" s="1" t="s">
        <v>6</v>
      </c>
      <c r="E179" s="2">
        <f t="shared" si="6"/>
        <v>39114</v>
      </c>
      <c r="F179" s="3">
        <v>635</v>
      </c>
      <c r="G179" s="1">
        <f t="shared" si="7"/>
        <v>508</v>
      </c>
      <c r="H179" s="3">
        <f t="shared" si="8"/>
        <v>127</v>
      </c>
    </row>
    <row r="180" spans="1:8" x14ac:dyDescent="0.2">
      <c r="A180" s="2">
        <v>38992</v>
      </c>
      <c r="B180" s="2" t="s">
        <v>13</v>
      </c>
      <c r="C180" s="1" t="s">
        <v>17</v>
      </c>
      <c r="D180" s="1" t="s">
        <v>22</v>
      </c>
      <c r="E180" s="2">
        <f t="shared" si="6"/>
        <v>39114</v>
      </c>
      <c r="F180" s="3">
        <v>1674</v>
      </c>
      <c r="G180" s="1">
        <f t="shared" si="7"/>
        <v>1339.2</v>
      </c>
      <c r="H180" s="3">
        <f t="shared" si="8"/>
        <v>334.79999999999995</v>
      </c>
    </row>
    <row r="181" spans="1:8" x14ac:dyDescent="0.2">
      <c r="A181" s="2">
        <v>39000</v>
      </c>
      <c r="B181" s="2" t="s">
        <v>14</v>
      </c>
      <c r="C181" s="1" t="s">
        <v>11</v>
      </c>
      <c r="D181" s="1" t="s">
        <v>8</v>
      </c>
      <c r="E181" s="2">
        <f t="shared" si="6"/>
        <v>39114</v>
      </c>
      <c r="F181" s="3">
        <v>635</v>
      </c>
      <c r="G181" s="1">
        <f t="shared" si="7"/>
        <v>508</v>
      </c>
      <c r="H181" s="3">
        <f t="shared" si="8"/>
        <v>127</v>
      </c>
    </row>
    <row r="182" spans="1:8" x14ac:dyDescent="0.2">
      <c r="A182" s="2">
        <v>39001</v>
      </c>
      <c r="B182" s="2" t="s">
        <v>13</v>
      </c>
      <c r="C182" s="1" t="s">
        <v>18</v>
      </c>
      <c r="D182" s="1" t="s">
        <v>7</v>
      </c>
      <c r="E182" s="2">
        <f t="shared" si="6"/>
        <v>39114</v>
      </c>
      <c r="F182" s="3">
        <v>1674</v>
      </c>
      <c r="G182" s="1">
        <f t="shared" si="7"/>
        <v>1339.2</v>
      </c>
      <c r="H182" s="3">
        <f t="shared" si="8"/>
        <v>334.79999999999995</v>
      </c>
    </row>
    <row r="183" spans="1:8" x14ac:dyDescent="0.2">
      <c r="A183" s="2">
        <v>39009</v>
      </c>
      <c r="B183" s="2" t="s">
        <v>14</v>
      </c>
      <c r="C183" s="1" t="s">
        <v>11</v>
      </c>
      <c r="D183" s="1" t="s">
        <v>6</v>
      </c>
      <c r="E183" s="2">
        <f t="shared" si="6"/>
        <v>39114</v>
      </c>
      <c r="F183" s="3">
        <v>637</v>
      </c>
      <c r="G183" s="1">
        <f t="shared" si="7"/>
        <v>509.6</v>
      </c>
      <c r="H183" s="3">
        <f t="shared" si="8"/>
        <v>127.39999999999998</v>
      </c>
    </row>
    <row r="184" spans="1:8" x14ac:dyDescent="0.2">
      <c r="A184" s="2">
        <v>39010</v>
      </c>
      <c r="B184" s="2" t="s">
        <v>13</v>
      </c>
      <c r="C184" s="1" t="s">
        <v>19</v>
      </c>
      <c r="D184" s="1" t="s">
        <v>22</v>
      </c>
      <c r="E184" s="2">
        <f t="shared" si="6"/>
        <v>39114</v>
      </c>
      <c r="F184" s="3">
        <v>1679</v>
      </c>
      <c r="G184" s="1">
        <f t="shared" si="7"/>
        <v>1343.2</v>
      </c>
      <c r="H184" s="3">
        <f t="shared" si="8"/>
        <v>335.79999999999995</v>
      </c>
    </row>
    <row r="185" spans="1:8" x14ac:dyDescent="0.2">
      <c r="A185" s="2">
        <v>39018</v>
      </c>
      <c r="B185" s="2" t="s">
        <v>14</v>
      </c>
      <c r="C185" s="1" t="s">
        <v>11</v>
      </c>
      <c r="D185" s="1" t="s">
        <v>8</v>
      </c>
      <c r="E185" s="2">
        <f t="shared" si="6"/>
        <v>39114</v>
      </c>
      <c r="F185" s="3">
        <v>637</v>
      </c>
      <c r="G185" s="1">
        <f t="shared" si="7"/>
        <v>509.6</v>
      </c>
      <c r="H185" s="3">
        <f t="shared" si="8"/>
        <v>127.39999999999998</v>
      </c>
    </row>
    <row r="186" spans="1:8" x14ac:dyDescent="0.2">
      <c r="A186" s="2">
        <v>39019</v>
      </c>
      <c r="B186" s="2" t="s">
        <v>13</v>
      </c>
      <c r="C186" s="1" t="s">
        <v>17</v>
      </c>
      <c r="D186" s="1" t="s">
        <v>7</v>
      </c>
      <c r="E186" s="2">
        <f t="shared" si="6"/>
        <v>39114</v>
      </c>
      <c r="F186" s="3">
        <v>1685</v>
      </c>
      <c r="G186" s="1">
        <f t="shared" si="7"/>
        <v>1348</v>
      </c>
      <c r="H186" s="3">
        <f t="shared" si="8"/>
        <v>337</v>
      </c>
    </row>
    <row r="187" spans="1:8" x14ac:dyDescent="0.2">
      <c r="A187" s="2">
        <v>39027</v>
      </c>
      <c r="B187" s="2" t="s">
        <v>14</v>
      </c>
      <c r="C187" s="1" t="s">
        <v>3</v>
      </c>
      <c r="D187" s="1" t="s">
        <v>6</v>
      </c>
      <c r="E187" s="2">
        <f t="shared" si="6"/>
        <v>39142</v>
      </c>
      <c r="F187" s="3">
        <v>639</v>
      </c>
      <c r="G187" s="1">
        <f t="shared" si="7"/>
        <v>511.20000000000005</v>
      </c>
      <c r="H187" s="3">
        <f t="shared" si="8"/>
        <v>127.79999999999995</v>
      </c>
    </row>
    <row r="188" spans="1:8" x14ac:dyDescent="0.2">
      <c r="A188" s="2">
        <v>39028</v>
      </c>
      <c r="B188" s="2" t="s">
        <v>13</v>
      </c>
      <c r="C188" s="1" t="s">
        <v>18</v>
      </c>
      <c r="D188" s="1" t="s">
        <v>22</v>
      </c>
      <c r="E188" s="2">
        <f t="shared" si="6"/>
        <v>39142</v>
      </c>
      <c r="F188" s="3">
        <v>1685</v>
      </c>
      <c r="G188" s="1">
        <f t="shared" si="7"/>
        <v>1348</v>
      </c>
      <c r="H188" s="3">
        <f t="shared" si="8"/>
        <v>337</v>
      </c>
    </row>
    <row r="189" spans="1:8" x14ac:dyDescent="0.2">
      <c r="A189" s="2">
        <v>39036</v>
      </c>
      <c r="B189" s="2" t="s">
        <v>14</v>
      </c>
      <c r="C189" s="1" t="s">
        <v>21</v>
      </c>
      <c r="D189" s="1" t="s">
        <v>8</v>
      </c>
      <c r="E189" s="2">
        <f t="shared" si="6"/>
        <v>39142</v>
      </c>
      <c r="F189" s="3">
        <v>639</v>
      </c>
      <c r="G189" s="1">
        <f t="shared" si="7"/>
        <v>511.20000000000005</v>
      </c>
      <c r="H189" s="3">
        <f t="shared" si="8"/>
        <v>127.79999999999995</v>
      </c>
    </row>
    <row r="190" spans="1:8" x14ac:dyDescent="0.2">
      <c r="A190" s="2">
        <v>39037</v>
      </c>
      <c r="B190" s="2" t="s">
        <v>13</v>
      </c>
      <c r="C190" s="1" t="s">
        <v>4</v>
      </c>
      <c r="D190" s="1" t="s">
        <v>7</v>
      </c>
      <c r="E190" s="2">
        <f t="shared" si="6"/>
        <v>39142</v>
      </c>
      <c r="F190" s="3">
        <v>1689</v>
      </c>
      <c r="G190" s="1">
        <f t="shared" si="7"/>
        <v>1351.2</v>
      </c>
      <c r="H190" s="3">
        <f t="shared" si="8"/>
        <v>337.79999999999995</v>
      </c>
    </row>
    <row r="191" spans="1:8" x14ac:dyDescent="0.2">
      <c r="A191" s="2">
        <v>39045</v>
      </c>
      <c r="B191" s="2" t="s">
        <v>14</v>
      </c>
      <c r="C191" s="1" t="s">
        <v>3</v>
      </c>
      <c r="D191" s="1" t="s">
        <v>6</v>
      </c>
      <c r="E191" s="2">
        <f t="shared" si="6"/>
        <v>39142</v>
      </c>
      <c r="F191" s="3">
        <v>641</v>
      </c>
      <c r="G191" s="1">
        <f t="shared" si="7"/>
        <v>512.80000000000007</v>
      </c>
      <c r="H191" s="3">
        <f t="shared" si="8"/>
        <v>128.19999999999993</v>
      </c>
    </row>
    <row r="192" spans="1:8" x14ac:dyDescent="0.2">
      <c r="A192" s="2">
        <v>39046</v>
      </c>
      <c r="B192" s="2" t="s">
        <v>13</v>
      </c>
      <c r="C192" s="1" t="s">
        <v>17</v>
      </c>
      <c r="D192" s="1" t="s">
        <v>22</v>
      </c>
      <c r="E192" s="2">
        <f t="shared" si="6"/>
        <v>39142</v>
      </c>
      <c r="F192" s="3">
        <v>1696</v>
      </c>
      <c r="G192" s="1">
        <f t="shared" si="7"/>
        <v>1356.8000000000002</v>
      </c>
      <c r="H192" s="3">
        <f t="shared" si="8"/>
        <v>339.19999999999982</v>
      </c>
    </row>
    <row r="193" spans="1:8" x14ac:dyDescent="0.2">
      <c r="A193" s="2">
        <v>39054</v>
      </c>
      <c r="B193" s="2" t="s">
        <v>14</v>
      </c>
      <c r="C193" s="1" t="s">
        <v>21</v>
      </c>
      <c r="D193" s="1" t="s">
        <v>8</v>
      </c>
      <c r="E193" s="2">
        <f t="shared" si="6"/>
        <v>39173</v>
      </c>
      <c r="F193" s="3">
        <v>641</v>
      </c>
      <c r="G193" s="1">
        <f t="shared" si="7"/>
        <v>512.80000000000007</v>
      </c>
      <c r="H193" s="3">
        <f t="shared" si="8"/>
        <v>128.19999999999993</v>
      </c>
    </row>
    <row r="194" spans="1:8" x14ac:dyDescent="0.2">
      <c r="A194" s="2">
        <v>39055</v>
      </c>
      <c r="B194" s="2" t="s">
        <v>13</v>
      </c>
      <c r="C194" s="1" t="s">
        <v>18</v>
      </c>
      <c r="D194" s="1" t="s">
        <v>7</v>
      </c>
      <c r="E194" s="2">
        <f t="shared" si="6"/>
        <v>39173</v>
      </c>
      <c r="F194" s="3">
        <v>1696</v>
      </c>
      <c r="G194" s="1">
        <f t="shared" si="7"/>
        <v>1356.8000000000002</v>
      </c>
      <c r="H194" s="3">
        <f t="shared" si="8"/>
        <v>339.19999999999982</v>
      </c>
    </row>
    <row r="195" spans="1:8" x14ac:dyDescent="0.2">
      <c r="A195" s="2">
        <v>39063</v>
      </c>
      <c r="B195" s="2" t="s">
        <v>14</v>
      </c>
      <c r="C195" s="1" t="s">
        <v>3</v>
      </c>
      <c r="D195" s="1" t="s">
        <v>6</v>
      </c>
      <c r="E195" s="2">
        <f t="shared" si="6"/>
        <v>39173</v>
      </c>
      <c r="F195" s="3">
        <v>643</v>
      </c>
      <c r="G195" s="1">
        <f t="shared" si="7"/>
        <v>514.4</v>
      </c>
      <c r="H195" s="3">
        <f t="shared" si="8"/>
        <v>128.60000000000002</v>
      </c>
    </row>
    <row r="196" spans="1:8" x14ac:dyDescent="0.2">
      <c r="A196" s="2">
        <v>39064</v>
      </c>
      <c r="B196" s="2" t="s">
        <v>13</v>
      </c>
      <c r="C196" s="1" t="s">
        <v>9</v>
      </c>
      <c r="D196" s="1" t="s">
        <v>22</v>
      </c>
      <c r="E196" s="2">
        <f t="shared" si="6"/>
        <v>39173</v>
      </c>
      <c r="F196" s="3">
        <v>1707</v>
      </c>
      <c r="G196" s="1">
        <f t="shared" si="7"/>
        <v>1365.6000000000001</v>
      </c>
      <c r="H196" s="3">
        <f t="shared" si="8"/>
        <v>341.39999999999986</v>
      </c>
    </row>
    <row r="197" spans="1:8" x14ac:dyDescent="0.2">
      <c r="A197" s="2">
        <v>39072</v>
      </c>
      <c r="B197" s="2" t="s">
        <v>14</v>
      </c>
      <c r="C197" s="1" t="s">
        <v>21</v>
      </c>
      <c r="D197" s="1" t="s">
        <v>8</v>
      </c>
      <c r="E197" s="2">
        <f t="shared" si="6"/>
        <v>39173</v>
      </c>
      <c r="F197" s="3">
        <v>643</v>
      </c>
      <c r="G197" s="1">
        <f t="shared" si="7"/>
        <v>514.4</v>
      </c>
      <c r="H197" s="3">
        <f t="shared" si="8"/>
        <v>128.60000000000002</v>
      </c>
    </row>
    <row r="198" spans="1:8" x14ac:dyDescent="0.2">
      <c r="A198" s="2">
        <v>39073</v>
      </c>
      <c r="B198" s="2" t="s">
        <v>13</v>
      </c>
      <c r="C198" s="1" t="s">
        <v>9</v>
      </c>
      <c r="D198" s="1" t="s">
        <v>7</v>
      </c>
      <c r="E198" s="2">
        <f t="shared" si="6"/>
        <v>39173</v>
      </c>
      <c r="F198" s="3">
        <v>1707</v>
      </c>
      <c r="G198" s="1">
        <f t="shared" si="7"/>
        <v>1365.6000000000001</v>
      </c>
      <c r="H198" s="3">
        <f t="shared" si="8"/>
        <v>341.39999999999986</v>
      </c>
    </row>
    <row r="199" spans="1:8" x14ac:dyDescent="0.2">
      <c r="A199" s="2">
        <v>39081</v>
      </c>
      <c r="B199" s="2" t="s">
        <v>14</v>
      </c>
      <c r="C199" s="1" t="s">
        <v>10</v>
      </c>
      <c r="D199" s="1" t="s">
        <v>6</v>
      </c>
      <c r="E199" s="2">
        <f t="shared" si="6"/>
        <v>39173</v>
      </c>
      <c r="F199" s="3">
        <v>645</v>
      </c>
      <c r="G199" s="1">
        <f t="shared" si="7"/>
        <v>516</v>
      </c>
      <c r="H199" s="3">
        <f t="shared" si="8"/>
        <v>129</v>
      </c>
    </row>
    <row r="200" spans="1:8" x14ac:dyDescent="0.2">
      <c r="A200" s="2">
        <v>39082</v>
      </c>
      <c r="B200" s="2" t="s">
        <v>13</v>
      </c>
      <c r="C200" s="1" t="s">
        <v>9</v>
      </c>
      <c r="D200" s="1" t="s">
        <v>22</v>
      </c>
      <c r="E200" s="2">
        <f t="shared" si="6"/>
        <v>39173</v>
      </c>
      <c r="F200" s="3">
        <v>1718</v>
      </c>
      <c r="G200" s="1">
        <f t="shared" si="7"/>
        <v>1374.4</v>
      </c>
      <c r="H200" s="3">
        <f t="shared" si="8"/>
        <v>343.59999999999991</v>
      </c>
    </row>
    <row r="201" spans="1:8" x14ac:dyDescent="0.2">
      <c r="A201" s="2">
        <v>39091</v>
      </c>
      <c r="B201" s="2" t="s">
        <v>14</v>
      </c>
      <c r="C201" s="1" t="s">
        <v>9</v>
      </c>
      <c r="D201" s="1" t="s">
        <v>8</v>
      </c>
      <c r="E201" s="2">
        <f t="shared" si="6"/>
        <v>39203</v>
      </c>
      <c r="F201" s="3">
        <v>1718</v>
      </c>
      <c r="G201" s="1">
        <f t="shared" si="7"/>
        <v>1374.4</v>
      </c>
      <c r="H201" s="3">
        <f t="shared" si="8"/>
        <v>343.59999999999991</v>
      </c>
    </row>
    <row r="202" spans="1:8" x14ac:dyDescent="0.2">
      <c r="A202" s="2">
        <v>39100</v>
      </c>
      <c r="B202" s="2" t="s">
        <v>13</v>
      </c>
      <c r="C202" s="1" t="s">
        <v>20</v>
      </c>
      <c r="D202" s="1" t="s">
        <v>7</v>
      </c>
      <c r="E202" s="2">
        <f t="shared" si="6"/>
        <v>39203</v>
      </c>
      <c r="F202" s="3">
        <v>1729</v>
      </c>
      <c r="G202" s="1">
        <f t="shared" si="7"/>
        <v>1383.2</v>
      </c>
      <c r="H202" s="3">
        <f t="shared" si="8"/>
        <v>345.79999999999995</v>
      </c>
    </row>
    <row r="203" spans="1:8" x14ac:dyDescent="0.2">
      <c r="A203" s="2">
        <v>39109</v>
      </c>
      <c r="B203" s="2" t="s">
        <v>14</v>
      </c>
      <c r="C203" s="1" t="s">
        <v>9</v>
      </c>
      <c r="D203" s="1" t="s">
        <v>6</v>
      </c>
      <c r="E203" s="2">
        <f t="shared" si="6"/>
        <v>39203</v>
      </c>
      <c r="F203" s="3">
        <v>1729</v>
      </c>
      <c r="G203" s="1">
        <f t="shared" si="7"/>
        <v>1383.2</v>
      </c>
      <c r="H203" s="3">
        <f t="shared" si="8"/>
        <v>345.79999999999995</v>
      </c>
    </row>
    <row r="204" spans="1:8" x14ac:dyDescent="0.2">
      <c r="A204" s="2">
        <v>39118</v>
      </c>
      <c r="B204" s="2" t="s">
        <v>13</v>
      </c>
      <c r="C204" s="1" t="s">
        <v>20</v>
      </c>
      <c r="D204" s="1" t="s">
        <v>22</v>
      </c>
      <c r="E204" s="2">
        <f t="shared" si="6"/>
        <v>39234</v>
      </c>
      <c r="F204" s="3">
        <v>1740</v>
      </c>
      <c r="G204" s="1">
        <f t="shared" si="7"/>
        <v>1392</v>
      </c>
      <c r="H204" s="3">
        <f t="shared" si="8"/>
        <v>348</v>
      </c>
    </row>
    <row r="205" spans="1:8" x14ac:dyDescent="0.2">
      <c r="A205" s="2">
        <v>39127</v>
      </c>
      <c r="B205" s="2" t="s">
        <v>14</v>
      </c>
      <c r="C205" s="1" t="s">
        <v>9</v>
      </c>
      <c r="D205" s="1" t="s">
        <v>8</v>
      </c>
      <c r="E205" s="2">
        <f t="shared" si="6"/>
        <v>39234</v>
      </c>
      <c r="F205" s="3">
        <v>1740</v>
      </c>
      <c r="G205" s="1">
        <f t="shared" si="7"/>
        <v>1392</v>
      </c>
      <c r="H205" s="3">
        <f t="shared" si="8"/>
        <v>348</v>
      </c>
    </row>
    <row r="206" spans="1:8" x14ac:dyDescent="0.2">
      <c r="A206" s="2">
        <v>39136</v>
      </c>
      <c r="B206" s="2" t="s">
        <v>13</v>
      </c>
      <c r="C206" s="1" t="s">
        <v>4</v>
      </c>
      <c r="D206" s="1" t="s">
        <v>7</v>
      </c>
      <c r="E206" s="2">
        <f t="shared" si="6"/>
        <v>39234</v>
      </c>
      <c r="F206" s="3">
        <v>1745</v>
      </c>
      <c r="G206" s="1">
        <f t="shared" si="7"/>
        <v>1396</v>
      </c>
      <c r="H206" s="3">
        <f t="shared" si="8"/>
        <v>349</v>
      </c>
    </row>
    <row r="207" spans="1:8" x14ac:dyDescent="0.2">
      <c r="A207" s="2">
        <v>39145</v>
      </c>
      <c r="B207" s="2" t="s">
        <v>14</v>
      </c>
      <c r="C207" s="1" t="s">
        <v>9</v>
      </c>
      <c r="D207" s="1" t="s">
        <v>6</v>
      </c>
      <c r="E207" s="2">
        <f t="shared" si="6"/>
        <v>39264</v>
      </c>
      <c r="F207" s="3">
        <v>1751</v>
      </c>
      <c r="G207" s="1">
        <f t="shared" si="7"/>
        <v>1400.8000000000002</v>
      </c>
      <c r="H207" s="3">
        <f t="shared" si="8"/>
        <v>350.19999999999982</v>
      </c>
    </row>
    <row r="208" spans="1:8" x14ac:dyDescent="0.2">
      <c r="A208" s="2">
        <v>39154</v>
      </c>
      <c r="B208" s="2" t="s">
        <v>13</v>
      </c>
      <c r="C208" s="1" t="s">
        <v>9</v>
      </c>
      <c r="D208" s="1" t="s">
        <v>22</v>
      </c>
      <c r="E208" s="2">
        <f t="shared" si="6"/>
        <v>39264</v>
      </c>
      <c r="F208" s="3">
        <v>1762</v>
      </c>
      <c r="G208" s="1">
        <f t="shared" si="7"/>
        <v>1409.6000000000001</v>
      </c>
      <c r="H208" s="3">
        <f t="shared" si="8"/>
        <v>352.39999999999986</v>
      </c>
    </row>
    <row r="209" spans="1:8" x14ac:dyDescent="0.2">
      <c r="A209" s="2">
        <v>39163</v>
      </c>
      <c r="B209" s="2" t="s">
        <v>14</v>
      </c>
      <c r="C209" s="1" t="s">
        <v>20</v>
      </c>
      <c r="D209" s="1" t="s">
        <v>8</v>
      </c>
      <c r="E209" s="2">
        <f t="shared" si="6"/>
        <v>39264</v>
      </c>
      <c r="F209" s="3">
        <v>1773</v>
      </c>
      <c r="G209" s="1">
        <f t="shared" si="7"/>
        <v>1418.4</v>
      </c>
      <c r="H209" s="3">
        <f t="shared" si="8"/>
        <v>354.59999999999991</v>
      </c>
    </row>
    <row r="210" spans="1:8" x14ac:dyDescent="0.2">
      <c r="A210" s="2">
        <v>39172</v>
      </c>
      <c r="B210" s="2" t="s">
        <v>13</v>
      </c>
      <c r="C210" s="1" t="s">
        <v>9</v>
      </c>
      <c r="D210" s="1" t="s">
        <v>7</v>
      </c>
      <c r="E210" s="2">
        <f t="shared" si="6"/>
        <v>39264</v>
      </c>
      <c r="F210" s="3">
        <v>1784</v>
      </c>
      <c r="G210" s="1">
        <f t="shared" si="7"/>
        <v>1427.2</v>
      </c>
      <c r="H210" s="3">
        <f t="shared" si="8"/>
        <v>356.79999999999995</v>
      </c>
    </row>
    <row r="211" spans="1:8" x14ac:dyDescent="0.2">
      <c r="A211" s="2">
        <v>39181</v>
      </c>
      <c r="B211" s="2" t="s">
        <v>14</v>
      </c>
      <c r="C211" s="1" t="s">
        <v>9</v>
      </c>
      <c r="D211" s="1" t="s">
        <v>6</v>
      </c>
      <c r="E211" s="2">
        <f t="shared" ref="E211:E305" si="9">DATE(YEAR(A211),MONTH(A211)+4,1)</f>
        <v>39295</v>
      </c>
      <c r="F211" s="3">
        <v>1795</v>
      </c>
      <c r="G211" s="1">
        <f t="shared" si="7"/>
        <v>1436</v>
      </c>
      <c r="H211" s="3">
        <f t="shared" si="8"/>
        <v>359</v>
      </c>
    </row>
    <row r="212" spans="1:8" x14ac:dyDescent="0.2">
      <c r="A212" s="2">
        <v>39190</v>
      </c>
      <c r="B212" s="2" t="s">
        <v>13</v>
      </c>
      <c r="C212" s="1" t="s">
        <v>4</v>
      </c>
      <c r="D212" s="1" t="s">
        <v>22</v>
      </c>
      <c r="E212" s="2">
        <f t="shared" si="9"/>
        <v>39295</v>
      </c>
      <c r="F212" s="3">
        <v>1801</v>
      </c>
      <c r="G212" s="1">
        <f t="shared" si="7"/>
        <v>1440.8000000000002</v>
      </c>
      <c r="H212" s="3">
        <f t="shared" si="8"/>
        <v>360.19999999999982</v>
      </c>
    </row>
    <row r="213" spans="1:8" x14ac:dyDescent="0.2">
      <c r="A213" s="2">
        <v>39199</v>
      </c>
      <c r="B213" s="2" t="s">
        <v>14</v>
      </c>
      <c r="C213" s="1" t="s">
        <v>9</v>
      </c>
      <c r="D213" s="1" t="s">
        <v>8</v>
      </c>
      <c r="E213" s="2">
        <f t="shared" si="9"/>
        <v>39295</v>
      </c>
      <c r="F213" s="3">
        <v>1806</v>
      </c>
      <c r="G213" s="1">
        <f t="shared" si="7"/>
        <v>1444.8000000000002</v>
      </c>
      <c r="H213" s="3">
        <f t="shared" si="8"/>
        <v>361.19999999999982</v>
      </c>
    </row>
    <row r="214" spans="1:8" x14ac:dyDescent="0.2">
      <c r="A214" s="2">
        <v>39208</v>
      </c>
      <c r="B214" s="2" t="s">
        <v>13</v>
      </c>
      <c r="C214" s="1" t="s">
        <v>9</v>
      </c>
      <c r="D214" s="1" t="s">
        <v>7</v>
      </c>
      <c r="E214" s="2">
        <f t="shared" si="9"/>
        <v>39326</v>
      </c>
      <c r="F214" s="3">
        <v>1817</v>
      </c>
      <c r="G214" s="1">
        <f t="shared" si="7"/>
        <v>1453.6000000000001</v>
      </c>
      <c r="H214" s="3">
        <f t="shared" si="8"/>
        <v>363.39999999999986</v>
      </c>
    </row>
    <row r="215" spans="1:8" x14ac:dyDescent="0.2">
      <c r="A215" s="2">
        <v>39217</v>
      </c>
      <c r="B215" s="2" t="s">
        <v>14</v>
      </c>
      <c r="C215" s="1" t="s">
        <v>15</v>
      </c>
      <c r="D215" s="1" t="s">
        <v>6</v>
      </c>
      <c r="E215" s="2">
        <f t="shared" si="9"/>
        <v>39326</v>
      </c>
      <c r="F215" s="3">
        <v>1828</v>
      </c>
      <c r="G215" s="1">
        <f t="shared" ref="G215:G309" si="10">F215*0.8</f>
        <v>1462.4</v>
      </c>
      <c r="H215" s="3">
        <f t="shared" ref="H215:H309" si="11">F215-G215</f>
        <v>365.59999999999991</v>
      </c>
    </row>
    <row r="216" spans="1:8" x14ac:dyDescent="0.2">
      <c r="A216" s="2">
        <v>39226</v>
      </c>
      <c r="B216" s="2" t="s">
        <v>13</v>
      </c>
      <c r="C216" s="1" t="s">
        <v>19</v>
      </c>
      <c r="D216" s="1" t="s">
        <v>22</v>
      </c>
      <c r="E216" s="2">
        <f t="shared" si="9"/>
        <v>39326</v>
      </c>
      <c r="F216" s="3">
        <v>1836</v>
      </c>
      <c r="G216" s="1">
        <f t="shared" si="10"/>
        <v>1468.8000000000002</v>
      </c>
      <c r="H216" s="3">
        <f t="shared" si="11"/>
        <v>367.19999999999982</v>
      </c>
    </row>
    <row r="217" spans="1:8" x14ac:dyDescent="0.2">
      <c r="A217" s="2">
        <v>39235</v>
      </c>
      <c r="B217" s="2" t="s">
        <v>14</v>
      </c>
      <c r="C217" s="1" t="s">
        <v>15</v>
      </c>
      <c r="D217" s="1" t="s">
        <v>8</v>
      </c>
      <c r="E217" s="2">
        <f t="shared" si="9"/>
        <v>39356</v>
      </c>
      <c r="F217" s="3">
        <v>1839</v>
      </c>
      <c r="G217" s="1">
        <f t="shared" si="10"/>
        <v>1471.2</v>
      </c>
      <c r="H217" s="3">
        <f t="shared" si="11"/>
        <v>367.79999999999995</v>
      </c>
    </row>
    <row r="218" spans="1:8" x14ac:dyDescent="0.2">
      <c r="A218" s="2">
        <v>39244</v>
      </c>
      <c r="B218" s="2" t="s">
        <v>13</v>
      </c>
      <c r="C218" s="1" t="s">
        <v>16</v>
      </c>
      <c r="D218" s="1" t="s">
        <v>7</v>
      </c>
      <c r="E218" s="2">
        <f t="shared" si="9"/>
        <v>39356</v>
      </c>
      <c r="F218" s="3">
        <v>1850</v>
      </c>
      <c r="G218" s="1">
        <f t="shared" si="10"/>
        <v>1480</v>
      </c>
      <c r="H218" s="3">
        <f t="shared" si="11"/>
        <v>370</v>
      </c>
    </row>
    <row r="219" spans="1:8" x14ac:dyDescent="0.2">
      <c r="A219" s="2">
        <v>39253</v>
      </c>
      <c r="B219" s="2" t="s">
        <v>14</v>
      </c>
      <c r="C219" s="1" t="s">
        <v>4</v>
      </c>
      <c r="D219" s="1" t="s">
        <v>6</v>
      </c>
      <c r="E219" s="2">
        <f t="shared" si="9"/>
        <v>39356</v>
      </c>
      <c r="F219" s="3">
        <v>1857</v>
      </c>
      <c r="G219" s="1">
        <f t="shared" si="10"/>
        <v>1485.6000000000001</v>
      </c>
      <c r="H219" s="3">
        <f t="shared" si="11"/>
        <v>371.39999999999986</v>
      </c>
    </row>
    <row r="220" spans="1:8" x14ac:dyDescent="0.2">
      <c r="A220" s="2">
        <v>39262</v>
      </c>
      <c r="B220" s="2" t="s">
        <v>13</v>
      </c>
      <c r="C220" s="1" t="s">
        <v>16</v>
      </c>
      <c r="D220" s="1" t="s">
        <v>22</v>
      </c>
      <c r="E220" s="2">
        <f t="shared" si="9"/>
        <v>39356</v>
      </c>
      <c r="F220" s="3">
        <v>1861</v>
      </c>
      <c r="G220" s="1">
        <f t="shared" si="10"/>
        <v>1488.8000000000002</v>
      </c>
      <c r="H220" s="3">
        <f t="shared" si="11"/>
        <v>372.19999999999982</v>
      </c>
    </row>
    <row r="221" spans="1:8" x14ac:dyDescent="0.2">
      <c r="A221" s="2">
        <v>39271</v>
      </c>
      <c r="B221" s="2" t="s">
        <v>14</v>
      </c>
      <c r="C221" s="1" t="s">
        <v>16</v>
      </c>
      <c r="D221" s="1" t="s">
        <v>8</v>
      </c>
      <c r="E221" s="2">
        <f t="shared" si="9"/>
        <v>39387</v>
      </c>
      <c r="F221" s="3">
        <v>1872</v>
      </c>
      <c r="G221" s="1">
        <f t="shared" si="10"/>
        <v>1497.6000000000001</v>
      </c>
      <c r="H221" s="3">
        <f t="shared" si="11"/>
        <v>374.39999999999986</v>
      </c>
    </row>
    <row r="222" spans="1:8" x14ac:dyDescent="0.2">
      <c r="A222" s="2">
        <v>39280</v>
      </c>
      <c r="B222" s="2" t="s">
        <v>13</v>
      </c>
      <c r="C222" s="1" t="s">
        <v>15</v>
      </c>
      <c r="D222" s="1" t="s">
        <v>7</v>
      </c>
      <c r="E222" s="2">
        <f t="shared" si="9"/>
        <v>39387</v>
      </c>
      <c r="F222" s="3">
        <v>1883</v>
      </c>
      <c r="G222" s="1">
        <f t="shared" si="10"/>
        <v>1506.4</v>
      </c>
      <c r="H222" s="3">
        <f t="shared" si="11"/>
        <v>376.59999999999991</v>
      </c>
    </row>
    <row r="223" spans="1:8" x14ac:dyDescent="0.2">
      <c r="A223" s="2">
        <v>39289</v>
      </c>
      <c r="B223" s="2" t="s">
        <v>14</v>
      </c>
      <c r="C223" s="1" t="s">
        <v>16</v>
      </c>
      <c r="D223" s="1" t="s">
        <v>6</v>
      </c>
      <c r="E223" s="2">
        <f t="shared" si="9"/>
        <v>39387</v>
      </c>
      <c r="F223" s="3">
        <v>1894</v>
      </c>
      <c r="G223" s="1">
        <f t="shared" si="10"/>
        <v>1515.2</v>
      </c>
      <c r="H223" s="3">
        <f t="shared" si="11"/>
        <v>378.79999999999995</v>
      </c>
    </row>
    <row r="224" spans="1:8" x14ac:dyDescent="0.2">
      <c r="A224" s="2">
        <v>39298</v>
      </c>
      <c r="B224" s="2" t="s">
        <v>13</v>
      </c>
      <c r="C224" s="1" t="s">
        <v>15</v>
      </c>
      <c r="D224" s="1" t="s">
        <v>22</v>
      </c>
      <c r="E224" s="2">
        <f t="shared" si="9"/>
        <v>39417</v>
      </c>
      <c r="F224" s="3">
        <v>1905</v>
      </c>
      <c r="G224" s="1">
        <f t="shared" si="10"/>
        <v>1524</v>
      </c>
      <c r="H224" s="3">
        <f t="shared" si="11"/>
        <v>381</v>
      </c>
    </row>
    <row r="225" spans="1:8" x14ac:dyDescent="0.2">
      <c r="A225" s="2">
        <v>39307</v>
      </c>
      <c r="B225" s="2" t="s">
        <v>14</v>
      </c>
      <c r="C225" s="1" t="s">
        <v>16</v>
      </c>
      <c r="D225" s="1" t="s">
        <v>8</v>
      </c>
      <c r="E225" s="2">
        <f t="shared" si="9"/>
        <v>39417</v>
      </c>
      <c r="F225" s="3">
        <v>1905</v>
      </c>
      <c r="G225" s="1">
        <f t="shared" si="10"/>
        <v>1524</v>
      </c>
      <c r="H225" s="3">
        <f t="shared" si="11"/>
        <v>381</v>
      </c>
    </row>
    <row r="226" spans="1:8" x14ac:dyDescent="0.2">
      <c r="A226" s="2">
        <v>39316</v>
      </c>
      <c r="B226" s="2" t="s">
        <v>13</v>
      </c>
      <c r="C226" s="1" t="s">
        <v>4</v>
      </c>
      <c r="D226" s="1" t="s">
        <v>7</v>
      </c>
      <c r="E226" s="2">
        <f t="shared" si="9"/>
        <v>39417</v>
      </c>
      <c r="F226" s="3">
        <v>1913</v>
      </c>
      <c r="G226" s="1">
        <f t="shared" si="10"/>
        <v>1530.4</v>
      </c>
      <c r="H226" s="3">
        <f t="shared" si="11"/>
        <v>382.59999999999991</v>
      </c>
    </row>
    <row r="227" spans="1:8" x14ac:dyDescent="0.2">
      <c r="A227" s="2">
        <v>39325</v>
      </c>
      <c r="B227" s="2" t="s">
        <v>14</v>
      </c>
      <c r="C227" s="1" t="s">
        <v>15</v>
      </c>
      <c r="D227" s="1" t="s">
        <v>6</v>
      </c>
      <c r="E227" s="2">
        <f t="shared" si="9"/>
        <v>39417</v>
      </c>
      <c r="F227" s="3">
        <v>1916</v>
      </c>
      <c r="G227" s="1">
        <f t="shared" si="10"/>
        <v>1532.8000000000002</v>
      </c>
      <c r="H227" s="3">
        <f t="shared" si="11"/>
        <v>383.19999999999982</v>
      </c>
    </row>
    <row r="228" spans="1:8" x14ac:dyDescent="0.2">
      <c r="A228" s="2">
        <v>39334</v>
      </c>
      <c r="B228" s="2" t="s">
        <v>13</v>
      </c>
      <c r="C228" s="1" t="s">
        <v>16</v>
      </c>
      <c r="D228" s="1" t="s">
        <v>22</v>
      </c>
      <c r="E228" s="2">
        <f t="shared" si="9"/>
        <v>39448</v>
      </c>
      <c r="F228" s="3">
        <v>1916</v>
      </c>
      <c r="G228" s="1">
        <f t="shared" si="10"/>
        <v>1532.8000000000002</v>
      </c>
      <c r="H228" s="3">
        <f t="shared" si="11"/>
        <v>383.19999999999982</v>
      </c>
    </row>
    <row r="229" spans="1:8" x14ac:dyDescent="0.2">
      <c r="A229" s="2">
        <v>39343</v>
      </c>
      <c r="B229" s="2" t="s">
        <v>14</v>
      </c>
      <c r="C229" s="1" t="s">
        <v>15</v>
      </c>
      <c r="D229" s="1" t="s">
        <v>8</v>
      </c>
      <c r="E229" s="2">
        <f t="shared" si="9"/>
        <v>39448</v>
      </c>
      <c r="F229" s="3">
        <v>1927</v>
      </c>
      <c r="G229" s="1">
        <f t="shared" si="10"/>
        <v>1541.6000000000001</v>
      </c>
      <c r="H229" s="3">
        <f t="shared" si="11"/>
        <v>385.39999999999986</v>
      </c>
    </row>
    <row r="230" spans="1:8" x14ac:dyDescent="0.2">
      <c r="A230" s="2">
        <v>39352</v>
      </c>
      <c r="B230" s="2" t="s">
        <v>13</v>
      </c>
      <c r="C230" s="1" t="s">
        <v>16</v>
      </c>
      <c r="D230" s="1" t="s">
        <v>7</v>
      </c>
      <c r="E230" s="2">
        <f t="shared" si="9"/>
        <v>39448</v>
      </c>
      <c r="F230" s="3">
        <v>1927</v>
      </c>
      <c r="G230" s="1">
        <f t="shared" si="10"/>
        <v>1541.6000000000001</v>
      </c>
      <c r="H230" s="3">
        <f t="shared" si="11"/>
        <v>385.39999999999986</v>
      </c>
    </row>
    <row r="231" spans="1:8" x14ac:dyDescent="0.2">
      <c r="A231" s="2">
        <v>39361</v>
      </c>
      <c r="B231" s="2" t="s">
        <v>14</v>
      </c>
      <c r="C231" s="1" t="s">
        <v>15</v>
      </c>
      <c r="D231" s="1" t="s">
        <v>6</v>
      </c>
      <c r="E231" s="2">
        <f t="shared" si="9"/>
        <v>39479</v>
      </c>
      <c r="F231" s="3">
        <v>1938</v>
      </c>
      <c r="G231" s="1">
        <f t="shared" si="10"/>
        <v>1550.4</v>
      </c>
      <c r="H231" s="3">
        <f t="shared" si="11"/>
        <v>387.59999999999991</v>
      </c>
    </row>
    <row r="232" spans="1:8" x14ac:dyDescent="0.2">
      <c r="A232" s="2">
        <v>39370</v>
      </c>
      <c r="B232" s="2" t="s">
        <v>13</v>
      </c>
      <c r="C232" s="1" t="s">
        <v>16</v>
      </c>
      <c r="D232" s="1" t="s">
        <v>22</v>
      </c>
      <c r="E232" s="2">
        <f t="shared" si="9"/>
        <v>39479</v>
      </c>
      <c r="F232" s="3">
        <v>1938</v>
      </c>
      <c r="G232" s="1">
        <f t="shared" si="10"/>
        <v>1550.4</v>
      </c>
      <c r="H232" s="3">
        <f t="shared" si="11"/>
        <v>387.59999999999991</v>
      </c>
    </row>
    <row r="233" spans="1:8" x14ac:dyDescent="0.2">
      <c r="A233" s="2">
        <v>39379</v>
      </c>
      <c r="B233" s="2" t="s">
        <v>14</v>
      </c>
      <c r="C233" s="1" t="s">
        <v>15</v>
      </c>
      <c r="D233" s="1" t="s">
        <v>8</v>
      </c>
      <c r="E233" s="2">
        <f t="shared" si="9"/>
        <v>39479</v>
      </c>
      <c r="F233" s="3">
        <v>1949</v>
      </c>
      <c r="G233" s="1">
        <f t="shared" si="10"/>
        <v>1559.2</v>
      </c>
      <c r="H233" s="3">
        <f t="shared" si="11"/>
        <v>389.79999999999995</v>
      </c>
    </row>
    <row r="234" spans="1:8" x14ac:dyDescent="0.2">
      <c r="A234" s="2">
        <v>39388</v>
      </c>
      <c r="B234" s="2" t="s">
        <v>13</v>
      </c>
      <c r="C234" s="1" t="s">
        <v>16</v>
      </c>
      <c r="D234" s="1" t="s">
        <v>7</v>
      </c>
      <c r="E234" s="2">
        <f t="shared" si="9"/>
        <v>39508</v>
      </c>
      <c r="F234" s="3">
        <v>1949</v>
      </c>
      <c r="G234" s="1">
        <f t="shared" si="10"/>
        <v>1559.2</v>
      </c>
      <c r="H234" s="3">
        <f t="shared" si="11"/>
        <v>389.79999999999995</v>
      </c>
    </row>
    <row r="235" spans="1:8" x14ac:dyDescent="0.2">
      <c r="A235" s="2">
        <v>39397</v>
      </c>
      <c r="B235" s="2" t="s">
        <v>14</v>
      </c>
      <c r="C235" s="1" t="s">
        <v>15</v>
      </c>
      <c r="D235" s="1" t="s">
        <v>6</v>
      </c>
      <c r="E235" s="2">
        <f t="shared" si="9"/>
        <v>39508</v>
      </c>
      <c r="F235" s="3">
        <v>1960</v>
      </c>
      <c r="G235" s="1">
        <f t="shared" si="10"/>
        <v>1568</v>
      </c>
      <c r="H235" s="3">
        <f t="shared" si="11"/>
        <v>392</v>
      </c>
    </row>
    <row r="236" spans="1:8" x14ac:dyDescent="0.2">
      <c r="A236" s="2">
        <v>39406</v>
      </c>
      <c r="B236" s="2" t="s">
        <v>13</v>
      </c>
      <c r="C236" s="1" t="s">
        <v>16</v>
      </c>
      <c r="D236" s="1" t="s">
        <v>22</v>
      </c>
      <c r="E236" s="2">
        <f t="shared" si="9"/>
        <v>39508</v>
      </c>
      <c r="F236" s="3">
        <v>1960</v>
      </c>
      <c r="G236" s="1">
        <f t="shared" si="10"/>
        <v>1568</v>
      </c>
      <c r="H236" s="3">
        <f t="shared" si="11"/>
        <v>392</v>
      </c>
    </row>
    <row r="237" spans="1:8" x14ac:dyDescent="0.2">
      <c r="A237" s="2">
        <v>39415</v>
      </c>
      <c r="B237" s="2" t="s">
        <v>14</v>
      </c>
      <c r="C237" s="1" t="s">
        <v>4</v>
      </c>
      <c r="D237" s="1" t="s">
        <v>8</v>
      </c>
      <c r="E237" s="2">
        <f t="shared" si="9"/>
        <v>39508</v>
      </c>
      <c r="F237" s="3">
        <v>1969</v>
      </c>
      <c r="G237" s="1">
        <f t="shared" si="10"/>
        <v>1575.2</v>
      </c>
      <c r="H237" s="3">
        <f t="shared" si="11"/>
        <v>393.79999999999995</v>
      </c>
    </row>
    <row r="238" spans="1:8" x14ac:dyDescent="0.2">
      <c r="A238" s="2">
        <v>39424</v>
      </c>
      <c r="B238" s="2" t="s">
        <v>13</v>
      </c>
      <c r="C238" s="1" t="s">
        <v>15</v>
      </c>
      <c r="D238" s="1" t="s">
        <v>7</v>
      </c>
      <c r="E238" s="2">
        <f t="shared" si="9"/>
        <v>39539</v>
      </c>
      <c r="F238" s="3">
        <v>1971</v>
      </c>
      <c r="G238" s="1">
        <f t="shared" si="10"/>
        <v>1576.8000000000002</v>
      </c>
      <c r="H238" s="3">
        <f t="shared" si="11"/>
        <v>394.19999999999982</v>
      </c>
    </row>
    <row r="239" spans="1:8" x14ac:dyDescent="0.2">
      <c r="A239" s="2">
        <v>39433</v>
      </c>
      <c r="B239" s="2" t="s">
        <v>14</v>
      </c>
      <c r="C239" s="1" t="s">
        <v>16</v>
      </c>
      <c r="D239" s="1" t="s">
        <v>6</v>
      </c>
      <c r="E239" s="2">
        <f t="shared" si="9"/>
        <v>39539</v>
      </c>
      <c r="F239" s="3">
        <v>1971</v>
      </c>
      <c r="G239" s="1">
        <f t="shared" si="10"/>
        <v>1576.8000000000002</v>
      </c>
      <c r="H239" s="3">
        <f t="shared" si="11"/>
        <v>394.19999999999982</v>
      </c>
    </row>
    <row r="240" spans="1:8" x14ac:dyDescent="0.2">
      <c r="A240" s="2">
        <v>39442</v>
      </c>
      <c r="B240" s="2" t="s">
        <v>13</v>
      </c>
      <c r="C240" s="1" t="s">
        <v>17</v>
      </c>
      <c r="D240" s="1" t="s">
        <v>22</v>
      </c>
      <c r="E240" s="2">
        <f t="shared" si="9"/>
        <v>39539</v>
      </c>
      <c r="F240" s="3">
        <v>1982</v>
      </c>
      <c r="G240" s="1">
        <f t="shared" si="10"/>
        <v>1585.6000000000001</v>
      </c>
      <c r="H240" s="3">
        <f t="shared" si="11"/>
        <v>396.39999999999986</v>
      </c>
    </row>
    <row r="241" spans="1:8" x14ac:dyDescent="0.2">
      <c r="A241" s="2">
        <v>39451</v>
      </c>
      <c r="B241" s="2" t="s">
        <v>14</v>
      </c>
      <c r="C241" s="1" t="s">
        <v>18</v>
      </c>
      <c r="D241" s="1" t="s">
        <v>8</v>
      </c>
      <c r="E241" s="2">
        <f t="shared" si="9"/>
        <v>39569</v>
      </c>
      <c r="F241" s="3">
        <v>1982</v>
      </c>
      <c r="G241" s="1">
        <f t="shared" si="10"/>
        <v>1585.6000000000001</v>
      </c>
      <c r="H241" s="3">
        <f t="shared" si="11"/>
        <v>396.39999999999986</v>
      </c>
    </row>
    <row r="242" spans="1:8" x14ac:dyDescent="0.2">
      <c r="A242" s="2">
        <v>39460</v>
      </c>
      <c r="B242" s="2" t="s">
        <v>13</v>
      </c>
      <c r="C242" s="1" t="s">
        <v>17</v>
      </c>
      <c r="D242" s="1" t="s">
        <v>7</v>
      </c>
      <c r="E242" s="2">
        <f t="shared" si="9"/>
        <v>39569</v>
      </c>
      <c r="F242" s="3">
        <v>1993</v>
      </c>
      <c r="G242" s="1">
        <f t="shared" si="10"/>
        <v>1594.4</v>
      </c>
      <c r="H242" s="3">
        <f t="shared" si="11"/>
        <v>398.59999999999991</v>
      </c>
    </row>
    <row r="243" spans="1:8" x14ac:dyDescent="0.2">
      <c r="A243" s="2">
        <v>39469</v>
      </c>
      <c r="B243" s="2" t="s">
        <v>14</v>
      </c>
      <c r="C243" s="1" t="s">
        <v>18</v>
      </c>
      <c r="D243" s="1" t="s">
        <v>6</v>
      </c>
      <c r="E243" s="2">
        <f t="shared" si="9"/>
        <v>39569</v>
      </c>
      <c r="F243" s="3">
        <v>1993</v>
      </c>
      <c r="G243" s="1">
        <f t="shared" si="10"/>
        <v>1594.4</v>
      </c>
      <c r="H243" s="3">
        <f t="shared" si="11"/>
        <v>398.59999999999991</v>
      </c>
    </row>
    <row r="244" spans="1:8" x14ac:dyDescent="0.2">
      <c r="A244" s="2">
        <v>39478</v>
      </c>
      <c r="B244" s="2" t="s">
        <v>13</v>
      </c>
      <c r="C244" s="1" t="s">
        <v>19</v>
      </c>
      <c r="D244" s="1" t="s">
        <v>22</v>
      </c>
      <c r="E244" s="2">
        <f t="shared" si="9"/>
        <v>39569</v>
      </c>
      <c r="F244" s="3">
        <v>1994</v>
      </c>
      <c r="G244" s="1">
        <f t="shared" si="10"/>
        <v>1595.2</v>
      </c>
      <c r="H244" s="3">
        <f t="shared" si="11"/>
        <v>398.79999999999995</v>
      </c>
    </row>
    <row r="245" spans="1:8" x14ac:dyDescent="0.2">
      <c r="A245" s="2">
        <v>39487</v>
      </c>
      <c r="B245" s="2" t="s">
        <v>14</v>
      </c>
      <c r="C245" s="1" t="s">
        <v>17</v>
      </c>
      <c r="D245" s="1" t="s">
        <v>8</v>
      </c>
      <c r="E245" s="2">
        <f t="shared" si="9"/>
        <v>39600</v>
      </c>
      <c r="F245" s="3">
        <v>2004</v>
      </c>
      <c r="G245" s="1">
        <f t="shared" si="10"/>
        <v>1603.2</v>
      </c>
      <c r="H245" s="3">
        <f t="shared" si="11"/>
        <v>400.79999999999995</v>
      </c>
    </row>
    <row r="246" spans="1:8" x14ac:dyDescent="0.2">
      <c r="A246" s="2">
        <v>39496</v>
      </c>
      <c r="B246" s="2" t="s">
        <v>13</v>
      </c>
      <c r="C246" s="1" t="s">
        <v>18</v>
      </c>
      <c r="D246" s="1" t="s">
        <v>7</v>
      </c>
      <c r="E246" s="2">
        <f t="shared" si="9"/>
        <v>39600</v>
      </c>
      <c r="F246" s="3">
        <v>2004</v>
      </c>
      <c r="G246" s="1">
        <f t="shared" si="10"/>
        <v>1603.2</v>
      </c>
      <c r="H246" s="3">
        <f t="shared" si="11"/>
        <v>400.79999999999995</v>
      </c>
    </row>
    <row r="247" spans="1:8" x14ac:dyDescent="0.2">
      <c r="A247" s="2">
        <v>39505</v>
      </c>
      <c r="B247" s="2" t="s">
        <v>14</v>
      </c>
      <c r="C247" s="1" t="s">
        <v>17</v>
      </c>
      <c r="D247" s="1" t="s">
        <v>6</v>
      </c>
      <c r="E247" s="2">
        <f t="shared" si="9"/>
        <v>39600</v>
      </c>
      <c r="F247" s="3">
        <v>2015</v>
      </c>
      <c r="G247" s="1">
        <f t="shared" si="10"/>
        <v>1612</v>
      </c>
      <c r="H247" s="3">
        <f t="shared" si="11"/>
        <v>403</v>
      </c>
    </row>
    <row r="248" spans="1:8" x14ac:dyDescent="0.2">
      <c r="A248" s="2">
        <v>39515</v>
      </c>
      <c r="B248" s="2" t="s">
        <v>13</v>
      </c>
      <c r="C248" s="1" t="s">
        <v>18</v>
      </c>
      <c r="D248" s="1" t="s">
        <v>22</v>
      </c>
      <c r="E248" s="2">
        <f t="shared" si="9"/>
        <v>39630</v>
      </c>
      <c r="F248" s="3">
        <v>2015</v>
      </c>
      <c r="G248" s="1">
        <f t="shared" si="10"/>
        <v>1612</v>
      </c>
      <c r="H248" s="3">
        <f t="shared" si="11"/>
        <v>403</v>
      </c>
    </row>
    <row r="249" spans="1:8" x14ac:dyDescent="0.2">
      <c r="A249" s="2">
        <v>39524</v>
      </c>
      <c r="B249" s="2" t="s">
        <v>14</v>
      </c>
      <c r="C249" s="1" t="s">
        <v>4</v>
      </c>
      <c r="D249" s="1" t="s">
        <v>8</v>
      </c>
      <c r="E249" s="2">
        <f t="shared" si="9"/>
        <v>39630</v>
      </c>
      <c r="F249" s="3">
        <v>2025</v>
      </c>
      <c r="G249" s="1">
        <f t="shared" si="10"/>
        <v>1620</v>
      </c>
      <c r="H249" s="3">
        <f t="shared" si="11"/>
        <v>405</v>
      </c>
    </row>
    <row r="250" spans="1:8" x14ac:dyDescent="0.2">
      <c r="A250" s="2">
        <v>39533</v>
      </c>
      <c r="B250" s="2" t="s">
        <v>13</v>
      </c>
      <c r="C250" s="1" t="s">
        <v>17</v>
      </c>
      <c r="D250" s="1" t="s">
        <v>7</v>
      </c>
      <c r="E250" s="2">
        <f t="shared" si="9"/>
        <v>39630</v>
      </c>
      <c r="F250" s="3">
        <v>2026</v>
      </c>
      <c r="G250" s="1">
        <f t="shared" si="10"/>
        <v>1620.8000000000002</v>
      </c>
      <c r="H250" s="3">
        <f t="shared" si="11"/>
        <v>405.19999999999982</v>
      </c>
    </row>
    <row r="251" spans="1:8" x14ac:dyDescent="0.2">
      <c r="A251" s="2">
        <v>39542</v>
      </c>
      <c r="B251" s="2" t="s">
        <v>14</v>
      </c>
      <c r="C251" s="1" t="s">
        <v>18</v>
      </c>
      <c r="D251" s="1" t="s">
        <v>6</v>
      </c>
      <c r="E251" s="2">
        <f t="shared" si="9"/>
        <v>39661</v>
      </c>
      <c r="F251" s="3">
        <v>2026</v>
      </c>
      <c r="G251" s="1">
        <f t="shared" si="10"/>
        <v>1620.8000000000002</v>
      </c>
      <c r="H251" s="3">
        <f t="shared" si="11"/>
        <v>405.19999999999982</v>
      </c>
    </row>
    <row r="252" spans="1:8" x14ac:dyDescent="0.2">
      <c r="A252" s="2">
        <v>39551</v>
      </c>
      <c r="B252" s="2" t="s">
        <v>13</v>
      </c>
      <c r="C252" s="1" t="s">
        <v>17</v>
      </c>
      <c r="D252" s="1" t="s">
        <v>22</v>
      </c>
      <c r="E252" s="2">
        <f t="shared" si="9"/>
        <v>39661</v>
      </c>
      <c r="F252" s="3">
        <v>2037</v>
      </c>
      <c r="G252" s="1">
        <f t="shared" si="10"/>
        <v>1629.6000000000001</v>
      </c>
      <c r="H252" s="3">
        <f t="shared" si="11"/>
        <v>407.39999999999986</v>
      </c>
    </row>
    <row r="253" spans="1:8" x14ac:dyDescent="0.2">
      <c r="A253" s="2">
        <v>39560</v>
      </c>
      <c r="B253" s="2" t="s">
        <v>14</v>
      </c>
      <c r="C253" s="1" t="s">
        <v>18</v>
      </c>
      <c r="D253" s="1" t="s">
        <v>8</v>
      </c>
      <c r="E253" s="2">
        <f t="shared" si="9"/>
        <v>39661</v>
      </c>
      <c r="F253" s="3">
        <v>2037</v>
      </c>
      <c r="G253" s="1">
        <f t="shared" si="10"/>
        <v>1629.6000000000001</v>
      </c>
      <c r="H253" s="3">
        <f t="shared" si="11"/>
        <v>407.39999999999986</v>
      </c>
    </row>
    <row r="254" spans="1:8" x14ac:dyDescent="0.2">
      <c r="A254" s="2">
        <v>39569</v>
      </c>
      <c r="B254" s="2" t="s">
        <v>13</v>
      </c>
      <c r="C254" s="1" t="s">
        <v>17</v>
      </c>
      <c r="D254" s="1" t="s">
        <v>7</v>
      </c>
      <c r="E254" s="2">
        <f t="shared" si="9"/>
        <v>39692</v>
      </c>
      <c r="F254" s="3">
        <v>2048</v>
      </c>
      <c r="G254" s="1">
        <f t="shared" si="10"/>
        <v>1638.4</v>
      </c>
      <c r="H254" s="3">
        <f t="shared" si="11"/>
        <v>409.59999999999991</v>
      </c>
    </row>
    <row r="255" spans="1:8" x14ac:dyDescent="0.2">
      <c r="A255" s="2">
        <v>39578</v>
      </c>
      <c r="B255" s="2" t="s">
        <v>14</v>
      </c>
      <c r="C255" s="1" t="s">
        <v>18</v>
      </c>
      <c r="D255" s="1" t="s">
        <v>6</v>
      </c>
      <c r="E255" s="2">
        <f t="shared" si="9"/>
        <v>39692</v>
      </c>
      <c r="F255" s="3">
        <v>2048</v>
      </c>
      <c r="G255" s="1">
        <f t="shared" si="10"/>
        <v>1638.4</v>
      </c>
      <c r="H255" s="3">
        <f t="shared" si="11"/>
        <v>409.59999999999991</v>
      </c>
    </row>
    <row r="256" spans="1:8" x14ac:dyDescent="0.2">
      <c r="A256" s="2">
        <v>39587</v>
      </c>
      <c r="B256" s="2" t="s">
        <v>13</v>
      </c>
      <c r="C256" s="1" t="s">
        <v>17</v>
      </c>
      <c r="D256" s="1" t="s">
        <v>22</v>
      </c>
      <c r="E256" s="2">
        <f t="shared" si="9"/>
        <v>39692</v>
      </c>
      <c r="F256" s="3">
        <v>2059</v>
      </c>
      <c r="G256" s="1">
        <f t="shared" si="10"/>
        <v>1647.2</v>
      </c>
      <c r="H256" s="3">
        <f t="shared" si="11"/>
        <v>411.79999999999995</v>
      </c>
    </row>
    <row r="257" spans="1:8" x14ac:dyDescent="0.2">
      <c r="A257" s="2">
        <v>39596</v>
      </c>
      <c r="B257" s="2" t="s">
        <v>14</v>
      </c>
      <c r="C257" s="1" t="s">
        <v>17</v>
      </c>
      <c r="D257" s="1" t="s">
        <v>8</v>
      </c>
      <c r="E257" s="2">
        <f t="shared" si="9"/>
        <v>39692</v>
      </c>
      <c r="F257" s="3">
        <v>2070</v>
      </c>
      <c r="G257" s="1">
        <f t="shared" si="10"/>
        <v>1656</v>
      </c>
      <c r="H257" s="3">
        <f t="shared" si="11"/>
        <v>414</v>
      </c>
    </row>
    <row r="258" spans="1:8" x14ac:dyDescent="0.2">
      <c r="A258" s="2">
        <v>39605</v>
      </c>
      <c r="B258" s="2" t="s">
        <v>13</v>
      </c>
      <c r="C258" s="1" t="s">
        <v>17</v>
      </c>
      <c r="D258" s="1" t="s">
        <v>7</v>
      </c>
      <c r="E258" s="2">
        <f t="shared" si="9"/>
        <v>39722</v>
      </c>
      <c r="F258" s="3">
        <v>2081</v>
      </c>
      <c r="G258" s="1">
        <f t="shared" si="10"/>
        <v>1664.8000000000002</v>
      </c>
      <c r="H258" s="3">
        <f t="shared" si="11"/>
        <v>416.19999999999982</v>
      </c>
    </row>
    <row r="259" spans="1:8" x14ac:dyDescent="0.2">
      <c r="A259" s="2">
        <v>39614</v>
      </c>
      <c r="B259" s="2" t="s">
        <v>14</v>
      </c>
      <c r="C259" s="1" t="s">
        <v>4</v>
      </c>
      <c r="D259" s="1" t="s">
        <v>6</v>
      </c>
      <c r="E259" s="2">
        <f t="shared" si="9"/>
        <v>39722</v>
      </c>
      <c r="F259" s="3">
        <v>2081</v>
      </c>
      <c r="G259" s="1">
        <f t="shared" si="10"/>
        <v>1664.8000000000002</v>
      </c>
      <c r="H259" s="3">
        <f t="shared" si="11"/>
        <v>416.19999999999982</v>
      </c>
    </row>
    <row r="260" spans="1:8" x14ac:dyDescent="0.2">
      <c r="A260" s="2">
        <v>39623</v>
      </c>
      <c r="B260" s="2" t="s">
        <v>13</v>
      </c>
      <c r="C260" s="1" t="s">
        <v>20</v>
      </c>
      <c r="D260" s="1" t="s">
        <v>22</v>
      </c>
      <c r="E260" s="2">
        <f t="shared" si="9"/>
        <v>39722</v>
      </c>
      <c r="F260" s="3">
        <v>2081</v>
      </c>
      <c r="G260" s="1">
        <f t="shared" si="10"/>
        <v>1664.8000000000002</v>
      </c>
      <c r="H260" s="3">
        <f t="shared" si="11"/>
        <v>416.19999999999982</v>
      </c>
    </row>
    <row r="261" spans="1:8" x14ac:dyDescent="0.2">
      <c r="A261" s="2">
        <v>39632</v>
      </c>
      <c r="B261" s="2" t="s">
        <v>14</v>
      </c>
      <c r="C261" s="1" t="s">
        <v>17</v>
      </c>
      <c r="D261" s="1" t="s">
        <v>8</v>
      </c>
      <c r="E261" s="2">
        <f t="shared" si="9"/>
        <v>39753</v>
      </c>
      <c r="F261" s="3">
        <v>2092</v>
      </c>
      <c r="G261" s="1">
        <f t="shared" si="10"/>
        <v>1673.6000000000001</v>
      </c>
      <c r="H261" s="3">
        <f t="shared" si="11"/>
        <v>418.39999999999986</v>
      </c>
    </row>
    <row r="262" spans="1:8" x14ac:dyDescent="0.2">
      <c r="A262" s="2">
        <v>39641</v>
      </c>
      <c r="B262" s="2" t="s">
        <v>13</v>
      </c>
      <c r="C262" s="1" t="s">
        <v>2</v>
      </c>
      <c r="D262" s="1" t="s">
        <v>7</v>
      </c>
      <c r="E262" s="2">
        <f t="shared" si="9"/>
        <v>39753</v>
      </c>
      <c r="F262" s="3">
        <v>2103</v>
      </c>
      <c r="G262" s="1">
        <f t="shared" si="10"/>
        <v>1682.4</v>
      </c>
      <c r="H262" s="3">
        <f t="shared" si="11"/>
        <v>420.59999999999991</v>
      </c>
    </row>
    <row r="263" spans="1:8" x14ac:dyDescent="0.2">
      <c r="A263" s="2">
        <v>39650</v>
      </c>
      <c r="B263" s="2" t="s">
        <v>14</v>
      </c>
      <c r="C263" s="1" t="s">
        <v>4</v>
      </c>
      <c r="D263" s="1" t="s">
        <v>6</v>
      </c>
      <c r="E263" s="2">
        <f t="shared" si="9"/>
        <v>39753</v>
      </c>
      <c r="F263" s="3">
        <v>2114</v>
      </c>
      <c r="G263" s="1">
        <f t="shared" si="10"/>
        <v>1691.2</v>
      </c>
      <c r="H263" s="3">
        <f t="shared" si="11"/>
        <v>422.79999999999995</v>
      </c>
    </row>
    <row r="264" spans="1:8" x14ac:dyDescent="0.2">
      <c r="A264" s="2">
        <v>39659</v>
      </c>
      <c r="B264" s="2" t="s">
        <v>13</v>
      </c>
      <c r="C264" s="1" t="s">
        <v>2</v>
      </c>
      <c r="D264" s="1" t="s">
        <v>22</v>
      </c>
      <c r="E264" s="2">
        <f t="shared" si="9"/>
        <v>39753</v>
      </c>
      <c r="F264" s="3">
        <v>2125</v>
      </c>
      <c r="G264" s="1">
        <f t="shared" si="10"/>
        <v>1700</v>
      </c>
      <c r="H264" s="3">
        <f t="shared" si="11"/>
        <v>425</v>
      </c>
    </row>
    <row r="265" spans="1:8" x14ac:dyDescent="0.2">
      <c r="A265" s="2">
        <v>39668</v>
      </c>
      <c r="B265" s="2" t="s">
        <v>14</v>
      </c>
      <c r="C265" s="1" t="s">
        <v>2</v>
      </c>
      <c r="D265" s="1" t="s">
        <v>8</v>
      </c>
      <c r="E265" s="2">
        <f t="shared" si="9"/>
        <v>39783</v>
      </c>
      <c r="F265" s="3">
        <v>2136</v>
      </c>
      <c r="G265" s="1">
        <f t="shared" si="10"/>
        <v>1708.8000000000002</v>
      </c>
      <c r="H265" s="3">
        <f t="shared" si="11"/>
        <v>427.19999999999982</v>
      </c>
    </row>
    <row r="266" spans="1:8" x14ac:dyDescent="0.2">
      <c r="A266" s="2">
        <v>39677</v>
      </c>
      <c r="B266" s="2" t="s">
        <v>13</v>
      </c>
      <c r="C266" s="1" t="s">
        <v>4</v>
      </c>
      <c r="D266" s="1" t="s">
        <v>7</v>
      </c>
      <c r="E266" s="2">
        <f t="shared" si="9"/>
        <v>39783</v>
      </c>
      <c r="F266" s="3">
        <v>2137</v>
      </c>
      <c r="G266" s="1">
        <f t="shared" si="10"/>
        <v>1709.6000000000001</v>
      </c>
      <c r="H266" s="3">
        <f t="shared" si="11"/>
        <v>427.39999999999986</v>
      </c>
    </row>
    <row r="267" spans="1:8" x14ac:dyDescent="0.2">
      <c r="A267" s="2">
        <v>39686</v>
      </c>
      <c r="B267" s="2" t="s">
        <v>14</v>
      </c>
      <c r="C267" s="1" t="s">
        <v>20</v>
      </c>
      <c r="D267" s="1" t="s">
        <v>6</v>
      </c>
      <c r="E267" s="2">
        <f t="shared" si="9"/>
        <v>39783</v>
      </c>
      <c r="F267" s="3">
        <v>2137</v>
      </c>
      <c r="G267" s="1">
        <f t="shared" si="10"/>
        <v>1709.6000000000001</v>
      </c>
      <c r="H267" s="3">
        <f t="shared" si="11"/>
        <v>427.39999999999986</v>
      </c>
    </row>
    <row r="268" spans="1:8" x14ac:dyDescent="0.2">
      <c r="A268" s="2">
        <v>39695</v>
      </c>
      <c r="B268" s="2" t="s">
        <v>13</v>
      </c>
      <c r="C268" s="1" t="s">
        <v>2</v>
      </c>
      <c r="D268" s="1" t="s">
        <v>22</v>
      </c>
      <c r="E268" s="2">
        <f t="shared" si="9"/>
        <v>39814</v>
      </c>
      <c r="F268" s="3">
        <v>2147</v>
      </c>
      <c r="G268" s="1">
        <f t="shared" si="10"/>
        <v>1717.6000000000001</v>
      </c>
      <c r="H268" s="3">
        <f t="shared" si="11"/>
        <v>429.39999999999986</v>
      </c>
    </row>
    <row r="269" spans="1:8" x14ac:dyDescent="0.2">
      <c r="A269" s="2">
        <v>39704</v>
      </c>
      <c r="B269" s="2" t="s">
        <v>14</v>
      </c>
      <c r="C269" s="1" t="s">
        <v>4</v>
      </c>
      <c r="D269" s="1" t="s">
        <v>8</v>
      </c>
      <c r="E269" s="2">
        <f t="shared" si="9"/>
        <v>39814</v>
      </c>
      <c r="F269" s="3">
        <v>2151</v>
      </c>
      <c r="G269" s="1">
        <f t="shared" si="10"/>
        <v>1720.8000000000002</v>
      </c>
      <c r="H269" s="3">
        <f t="shared" si="11"/>
        <v>430.19999999999982</v>
      </c>
    </row>
    <row r="270" spans="1:8" x14ac:dyDescent="0.2">
      <c r="A270" s="2">
        <v>39713</v>
      </c>
      <c r="B270" s="2" t="s">
        <v>13</v>
      </c>
      <c r="C270" s="1" t="s">
        <v>2</v>
      </c>
      <c r="D270" s="1" t="s">
        <v>7</v>
      </c>
      <c r="E270" s="2">
        <f t="shared" si="9"/>
        <v>39814</v>
      </c>
      <c r="F270" s="3">
        <v>2158</v>
      </c>
      <c r="G270" s="1">
        <f t="shared" si="10"/>
        <v>1726.4</v>
      </c>
      <c r="H270" s="3">
        <f t="shared" si="11"/>
        <v>431.59999999999991</v>
      </c>
    </row>
    <row r="271" spans="1:8" x14ac:dyDescent="0.2">
      <c r="A271" s="2">
        <v>39722</v>
      </c>
      <c r="B271" s="2" t="s">
        <v>14</v>
      </c>
      <c r="C271" s="1" t="s">
        <v>2</v>
      </c>
      <c r="D271" s="1" t="s">
        <v>6</v>
      </c>
      <c r="E271" s="2">
        <f t="shared" si="9"/>
        <v>39845</v>
      </c>
      <c r="F271" s="3">
        <v>2169</v>
      </c>
      <c r="G271" s="1">
        <f t="shared" si="10"/>
        <v>1735.2</v>
      </c>
      <c r="H271" s="3">
        <f t="shared" si="11"/>
        <v>433.79999999999995</v>
      </c>
    </row>
    <row r="272" spans="1:8" x14ac:dyDescent="0.2">
      <c r="A272" s="2">
        <v>39731</v>
      </c>
      <c r="B272" s="2" t="s">
        <v>13</v>
      </c>
      <c r="C272" s="1" t="s">
        <v>2</v>
      </c>
      <c r="D272" s="1" t="s">
        <v>22</v>
      </c>
      <c r="E272" s="2">
        <f t="shared" si="9"/>
        <v>39845</v>
      </c>
      <c r="F272" s="3">
        <v>2180</v>
      </c>
      <c r="G272" s="1">
        <f t="shared" si="10"/>
        <v>1744</v>
      </c>
      <c r="H272" s="3">
        <f t="shared" si="11"/>
        <v>436</v>
      </c>
    </row>
    <row r="273" spans="1:8" x14ac:dyDescent="0.2">
      <c r="A273" s="2">
        <v>39740</v>
      </c>
      <c r="B273" s="2" t="s">
        <v>14</v>
      </c>
      <c r="C273" s="1" t="s">
        <v>2</v>
      </c>
      <c r="D273" s="1" t="s">
        <v>8</v>
      </c>
      <c r="E273" s="2">
        <f t="shared" si="9"/>
        <v>39845</v>
      </c>
      <c r="F273" s="3">
        <v>2191</v>
      </c>
      <c r="G273" s="1">
        <f t="shared" si="10"/>
        <v>1752.8000000000002</v>
      </c>
      <c r="H273" s="3">
        <f t="shared" si="11"/>
        <v>438.19999999999982</v>
      </c>
    </row>
    <row r="274" spans="1:8" x14ac:dyDescent="0.2">
      <c r="A274" s="2">
        <v>39749</v>
      </c>
      <c r="B274" s="2" t="s">
        <v>13</v>
      </c>
      <c r="C274" s="1" t="s">
        <v>15</v>
      </c>
      <c r="D274" s="1" t="s">
        <v>7</v>
      </c>
      <c r="E274" s="2">
        <f t="shared" si="9"/>
        <v>39845</v>
      </c>
      <c r="F274" s="3">
        <v>2222</v>
      </c>
      <c r="G274" s="1">
        <f t="shared" si="10"/>
        <v>1777.6000000000001</v>
      </c>
      <c r="H274" s="3">
        <f t="shared" si="11"/>
        <v>444.39999999999986</v>
      </c>
    </row>
    <row r="275" spans="1:8" x14ac:dyDescent="0.2">
      <c r="A275" s="2">
        <v>39758</v>
      </c>
      <c r="B275" s="2" t="s">
        <v>14</v>
      </c>
      <c r="C275" s="1" t="s">
        <v>17</v>
      </c>
      <c r="D275" s="1" t="s">
        <v>6</v>
      </c>
      <c r="E275" s="2">
        <f t="shared" si="9"/>
        <v>39873</v>
      </c>
      <c r="F275" s="3">
        <v>2253</v>
      </c>
      <c r="G275" s="1">
        <f t="shared" si="10"/>
        <v>1802.4</v>
      </c>
      <c r="H275" s="3">
        <f t="shared" si="11"/>
        <v>450.59999999999991</v>
      </c>
    </row>
    <row r="276" spans="1:8" x14ac:dyDescent="0.2">
      <c r="A276" s="2">
        <v>39767</v>
      </c>
      <c r="B276" s="2" t="s">
        <v>13</v>
      </c>
      <c r="C276" s="1" t="s">
        <v>4</v>
      </c>
      <c r="D276" s="1" t="s">
        <v>22</v>
      </c>
      <c r="E276" s="2">
        <f t="shared" si="9"/>
        <v>39873</v>
      </c>
      <c r="F276" s="3">
        <v>2284</v>
      </c>
      <c r="G276" s="1">
        <f t="shared" si="10"/>
        <v>1827.2</v>
      </c>
      <c r="H276" s="3">
        <f t="shared" si="11"/>
        <v>456.79999999999995</v>
      </c>
    </row>
    <row r="277" spans="1:8" x14ac:dyDescent="0.2">
      <c r="A277" s="2">
        <v>39776</v>
      </c>
      <c r="B277" s="2" t="s">
        <v>14</v>
      </c>
      <c r="C277" s="1" t="s">
        <v>18</v>
      </c>
      <c r="D277" s="1" t="s">
        <v>8</v>
      </c>
      <c r="E277" s="2">
        <f t="shared" si="9"/>
        <v>39873</v>
      </c>
      <c r="F277" s="3">
        <v>2315</v>
      </c>
      <c r="G277" s="1">
        <f t="shared" si="10"/>
        <v>1852</v>
      </c>
      <c r="H277" s="3">
        <f t="shared" si="11"/>
        <v>463</v>
      </c>
    </row>
    <row r="278" spans="1:8" x14ac:dyDescent="0.2">
      <c r="A278" s="2">
        <v>39785</v>
      </c>
      <c r="B278" s="2" t="s">
        <v>13</v>
      </c>
      <c r="C278" s="1" t="s">
        <v>11</v>
      </c>
      <c r="D278" s="1" t="s">
        <v>7</v>
      </c>
      <c r="E278" s="2">
        <f t="shared" si="9"/>
        <v>39904</v>
      </c>
      <c r="F278" s="3">
        <v>2346</v>
      </c>
      <c r="G278" s="1">
        <f t="shared" si="10"/>
        <v>1876.8000000000002</v>
      </c>
      <c r="H278" s="3">
        <f t="shared" si="11"/>
        <v>469.19999999999982</v>
      </c>
    </row>
    <row r="279" spans="1:8" x14ac:dyDescent="0.2">
      <c r="A279" s="2">
        <v>39794</v>
      </c>
      <c r="B279" s="2" t="s">
        <v>14</v>
      </c>
      <c r="C279" s="1" t="s">
        <v>21</v>
      </c>
      <c r="D279" s="1" t="s">
        <v>6</v>
      </c>
      <c r="E279" s="2">
        <f t="shared" si="9"/>
        <v>39904</v>
      </c>
      <c r="F279" s="3">
        <v>2377</v>
      </c>
      <c r="G279" s="1">
        <f t="shared" si="10"/>
        <v>1901.6000000000001</v>
      </c>
      <c r="H279" s="3">
        <f t="shared" si="11"/>
        <v>475.39999999999986</v>
      </c>
    </row>
    <row r="280" spans="1:8" x14ac:dyDescent="0.2">
      <c r="A280" s="2">
        <v>39803</v>
      </c>
      <c r="B280" s="2" t="s">
        <v>13</v>
      </c>
      <c r="C280" s="1" t="s">
        <v>10</v>
      </c>
      <c r="D280" s="1" t="s">
        <v>22</v>
      </c>
      <c r="E280" s="2">
        <f t="shared" si="9"/>
        <v>39904</v>
      </c>
      <c r="F280" s="3">
        <v>2408</v>
      </c>
      <c r="G280" s="1">
        <f t="shared" si="10"/>
        <v>1926.4</v>
      </c>
      <c r="H280" s="3">
        <f t="shared" si="11"/>
        <v>481.59999999999991</v>
      </c>
    </row>
    <row r="281" spans="1:8" x14ac:dyDescent="0.2">
      <c r="A281" s="2">
        <v>39812</v>
      </c>
      <c r="B281" s="2" t="s">
        <v>14</v>
      </c>
      <c r="C281" s="1" t="s">
        <v>16</v>
      </c>
      <c r="D281" s="1" t="s">
        <v>8</v>
      </c>
      <c r="E281" s="2">
        <f t="shared" si="9"/>
        <v>39904</v>
      </c>
      <c r="F281" s="3">
        <v>2439</v>
      </c>
      <c r="G281" s="1">
        <f t="shared" si="10"/>
        <v>1951.2</v>
      </c>
      <c r="H281" s="3">
        <f t="shared" si="11"/>
        <v>487.79999999999995</v>
      </c>
    </row>
    <row r="282" spans="1:8" x14ac:dyDescent="0.2">
      <c r="A282" s="2">
        <v>39821</v>
      </c>
      <c r="B282" s="2" t="s">
        <v>13</v>
      </c>
      <c r="C282" s="1" t="s">
        <v>19</v>
      </c>
      <c r="D282" s="1" t="s">
        <v>7</v>
      </c>
      <c r="E282" s="2">
        <f t="shared" si="9"/>
        <v>39934</v>
      </c>
      <c r="F282" s="3">
        <v>2470</v>
      </c>
      <c r="G282" s="1">
        <f t="shared" si="10"/>
        <v>1976</v>
      </c>
      <c r="H282" s="3">
        <f t="shared" si="11"/>
        <v>494</v>
      </c>
    </row>
    <row r="283" spans="1:8" x14ac:dyDescent="0.2">
      <c r="A283" s="2">
        <v>39830</v>
      </c>
      <c r="B283" s="2" t="s">
        <v>14</v>
      </c>
      <c r="C283" s="1" t="s">
        <v>2</v>
      </c>
      <c r="D283" s="1" t="s">
        <v>6</v>
      </c>
      <c r="E283" s="2">
        <f t="shared" si="9"/>
        <v>39934</v>
      </c>
      <c r="F283" s="3">
        <v>2501</v>
      </c>
      <c r="G283" s="1">
        <f t="shared" si="10"/>
        <v>2000.8000000000002</v>
      </c>
      <c r="H283" s="3">
        <f t="shared" si="11"/>
        <v>500.19999999999982</v>
      </c>
    </row>
    <row r="284" spans="1:8" x14ac:dyDescent="0.2">
      <c r="A284" s="2">
        <v>39839</v>
      </c>
      <c r="B284" s="2" t="s">
        <v>13</v>
      </c>
      <c r="C284" s="1" t="s">
        <v>9</v>
      </c>
      <c r="D284" s="1" t="s">
        <v>22</v>
      </c>
      <c r="E284" s="2">
        <f t="shared" si="9"/>
        <v>39934</v>
      </c>
      <c r="F284" s="3">
        <v>2532</v>
      </c>
      <c r="G284" s="1">
        <f t="shared" si="10"/>
        <v>2025.6000000000001</v>
      </c>
      <c r="H284" s="3">
        <f t="shared" si="11"/>
        <v>506.39999999999986</v>
      </c>
    </row>
    <row r="285" spans="1:8" x14ac:dyDescent="0.2">
      <c r="A285" s="2">
        <v>39848</v>
      </c>
      <c r="B285" s="2" t="s">
        <v>14</v>
      </c>
      <c r="C285" s="1" t="s">
        <v>3</v>
      </c>
      <c r="D285" s="1" t="s">
        <v>8</v>
      </c>
      <c r="E285" s="2">
        <f t="shared" si="9"/>
        <v>39965</v>
      </c>
      <c r="F285" s="3">
        <v>2563</v>
      </c>
      <c r="G285" s="1">
        <f t="shared" si="10"/>
        <v>2050.4</v>
      </c>
      <c r="H285" s="3">
        <f t="shared" si="11"/>
        <v>512.59999999999991</v>
      </c>
    </row>
    <row r="286" spans="1:8" x14ac:dyDescent="0.2">
      <c r="A286" s="2">
        <v>39857</v>
      </c>
      <c r="B286" s="2" t="s">
        <v>13</v>
      </c>
      <c r="C286" s="1" t="s">
        <v>20</v>
      </c>
      <c r="D286" s="1" t="s">
        <v>7</v>
      </c>
      <c r="E286" s="2">
        <f t="shared" si="9"/>
        <v>39965</v>
      </c>
      <c r="F286" s="3">
        <v>2594</v>
      </c>
      <c r="G286" s="1">
        <f t="shared" si="10"/>
        <v>2075.2000000000003</v>
      </c>
      <c r="H286" s="3">
        <f t="shared" si="11"/>
        <v>518.79999999999973</v>
      </c>
    </row>
    <row r="287" spans="1:8" x14ac:dyDescent="0.2">
      <c r="A287" s="2">
        <v>39866</v>
      </c>
      <c r="B287" s="2" t="s">
        <v>14</v>
      </c>
      <c r="C287" s="1" t="s">
        <v>15</v>
      </c>
      <c r="D287" s="1" t="s">
        <v>6</v>
      </c>
      <c r="E287" s="2">
        <f t="shared" si="9"/>
        <v>39965</v>
      </c>
      <c r="F287" s="3">
        <v>2625</v>
      </c>
      <c r="G287" s="1">
        <f t="shared" si="10"/>
        <v>2100</v>
      </c>
      <c r="H287" s="3">
        <f t="shared" si="11"/>
        <v>525</v>
      </c>
    </row>
    <row r="288" spans="1:8" x14ac:dyDescent="0.2">
      <c r="A288" s="2">
        <v>39875</v>
      </c>
      <c r="B288" s="2" t="s">
        <v>13</v>
      </c>
      <c r="C288" s="1" t="s">
        <v>17</v>
      </c>
      <c r="D288" s="1" t="s">
        <v>22</v>
      </c>
      <c r="E288" s="2">
        <f t="shared" si="9"/>
        <v>39995</v>
      </c>
      <c r="F288" s="3">
        <v>2656</v>
      </c>
      <c r="G288" s="1">
        <f t="shared" si="10"/>
        <v>2124.8000000000002</v>
      </c>
      <c r="H288" s="3">
        <f t="shared" si="11"/>
        <v>531.19999999999982</v>
      </c>
    </row>
    <row r="289" spans="1:8" x14ac:dyDescent="0.2">
      <c r="A289" s="2">
        <v>39884</v>
      </c>
      <c r="B289" s="2" t="s">
        <v>14</v>
      </c>
      <c r="C289" s="1" t="s">
        <v>4</v>
      </c>
      <c r="D289" s="1" t="s">
        <v>8</v>
      </c>
      <c r="E289" s="2">
        <f t="shared" si="9"/>
        <v>39995</v>
      </c>
      <c r="F289" s="3">
        <v>2687</v>
      </c>
      <c r="G289" s="1">
        <f t="shared" si="10"/>
        <v>2149.6</v>
      </c>
      <c r="H289" s="3">
        <f t="shared" si="11"/>
        <v>537.40000000000009</v>
      </c>
    </row>
    <row r="290" spans="1:8" x14ac:dyDescent="0.2">
      <c r="A290" s="2">
        <v>39893</v>
      </c>
      <c r="B290" s="2" t="s">
        <v>13</v>
      </c>
      <c r="C290" s="1" t="s">
        <v>18</v>
      </c>
      <c r="D290" s="1" t="s">
        <v>7</v>
      </c>
      <c r="E290" s="2">
        <f t="shared" si="9"/>
        <v>39995</v>
      </c>
      <c r="F290" s="3">
        <v>2718</v>
      </c>
      <c r="G290" s="1">
        <f t="shared" si="10"/>
        <v>2174.4</v>
      </c>
      <c r="H290" s="3">
        <f t="shared" si="11"/>
        <v>543.59999999999991</v>
      </c>
    </row>
    <row r="291" spans="1:8" x14ac:dyDescent="0.2">
      <c r="A291" s="2">
        <v>39902</v>
      </c>
      <c r="B291" s="2" t="s">
        <v>14</v>
      </c>
      <c r="C291" s="1" t="s">
        <v>11</v>
      </c>
      <c r="D291" s="1" t="s">
        <v>6</v>
      </c>
      <c r="E291" s="2">
        <f t="shared" si="9"/>
        <v>39995</v>
      </c>
      <c r="F291" s="3">
        <v>2749</v>
      </c>
      <c r="G291" s="1">
        <f t="shared" si="10"/>
        <v>2199.2000000000003</v>
      </c>
      <c r="H291" s="3">
        <f t="shared" si="11"/>
        <v>549.79999999999973</v>
      </c>
    </row>
    <row r="292" spans="1:8" x14ac:dyDescent="0.2">
      <c r="A292" s="2">
        <v>39911</v>
      </c>
      <c r="B292" s="2" t="s">
        <v>13</v>
      </c>
      <c r="C292" s="1" t="s">
        <v>21</v>
      </c>
      <c r="D292" s="1" t="s">
        <v>22</v>
      </c>
      <c r="E292" s="2">
        <f t="shared" si="9"/>
        <v>40026</v>
      </c>
      <c r="F292" s="3">
        <v>2780</v>
      </c>
      <c r="G292" s="1">
        <f t="shared" si="10"/>
        <v>2224</v>
      </c>
      <c r="H292" s="3">
        <f t="shared" si="11"/>
        <v>556</v>
      </c>
    </row>
    <row r="293" spans="1:8" x14ac:dyDescent="0.2">
      <c r="A293" s="2">
        <v>39920</v>
      </c>
      <c r="B293" s="2" t="s">
        <v>14</v>
      </c>
      <c r="C293" s="1" t="s">
        <v>10</v>
      </c>
      <c r="D293" s="1" t="s">
        <v>8</v>
      </c>
      <c r="E293" s="2">
        <f t="shared" si="9"/>
        <v>40026</v>
      </c>
      <c r="F293" s="3">
        <v>2811</v>
      </c>
      <c r="G293" s="1">
        <f t="shared" si="10"/>
        <v>2248.8000000000002</v>
      </c>
      <c r="H293" s="3">
        <f t="shared" si="11"/>
        <v>562.19999999999982</v>
      </c>
    </row>
    <row r="294" spans="1:8" x14ac:dyDescent="0.2">
      <c r="A294" s="2">
        <v>39929</v>
      </c>
      <c r="B294" s="2" t="s">
        <v>13</v>
      </c>
      <c r="C294" s="1" t="s">
        <v>16</v>
      </c>
      <c r="D294" s="1" t="s">
        <v>7</v>
      </c>
      <c r="E294" s="2">
        <f t="shared" si="9"/>
        <v>40026</v>
      </c>
      <c r="F294" s="3">
        <v>2842</v>
      </c>
      <c r="G294" s="1">
        <f t="shared" si="10"/>
        <v>2273.6</v>
      </c>
      <c r="H294" s="3">
        <f t="shared" si="11"/>
        <v>568.40000000000009</v>
      </c>
    </row>
    <row r="295" spans="1:8" x14ac:dyDescent="0.2">
      <c r="A295" s="2">
        <v>39938</v>
      </c>
      <c r="B295" s="2" t="s">
        <v>14</v>
      </c>
      <c r="C295" s="1" t="s">
        <v>19</v>
      </c>
      <c r="D295" s="1" t="s">
        <v>6</v>
      </c>
      <c r="E295" s="2">
        <f t="shared" si="9"/>
        <v>40057</v>
      </c>
      <c r="F295" s="3">
        <v>2873</v>
      </c>
      <c r="G295" s="1">
        <f t="shared" si="10"/>
        <v>2298.4</v>
      </c>
      <c r="H295" s="3">
        <f t="shared" si="11"/>
        <v>574.59999999999991</v>
      </c>
    </row>
    <row r="296" spans="1:8" x14ac:dyDescent="0.2">
      <c r="A296" s="2">
        <v>39947</v>
      </c>
      <c r="B296" s="2" t="s">
        <v>13</v>
      </c>
      <c r="C296" s="1" t="s">
        <v>2</v>
      </c>
      <c r="D296" s="1" t="s">
        <v>22</v>
      </c>
      <c r="E296" s="2">
        <f t="shared" si="9"/>
        <v>40057</v>
      </c>
      <c r="F296" s="3">
        <v>2904</v>
      </c>
      <c r="G296" s="1">
        <f t="shared" si="10"/>
        <v>2323.2000000000003</v>
      </c>
      <c r="H296" s="3">
        <f t="shared" si="11"/>
        <v>580.79999999999973</v>
      </c>
    </row>
    <row r="297" spans="1:8" x14ac:dyDescent="0.2">
      <c r="A297" s="2">
        <v>39956</v>
      </c>
      <c r="B297" s="2" t="s">
        <v>14</v>
      </c>
      <c r="C297" s="1" t="s">
        <v>9</v>
      </c>
      <c r="D297" s="1" t="s">
        <v>8</v>
      </c>
      <c r="E297" s="2">
        <f t="shared" si="9"/>
        <v>40057</v>
      </c>
      <c r="F297" s="3">
        <v>2935</v>
      </c>
      <c r="G297" s="1">
        <f t="shared" si="10"/>
        <v>2348</v>
      </c>
      <c r="H297" s="3">
        <f t="shared" si="11"/>
        <v>587</v>
      </c>
    </row>
    <row r="298" spans="1:8" x14ac:dyDescent="0.2">
      <c r="A298" s="2">
        <v>39965</v>
      </c>
      <c r="B298" s="2" t="s">
        <v>13</v>
      </c>
      <c r="C298" s="1" t="s">
        <v>3</v>
      </c>
      <c r="D298" s="1" t="s">
        <v>7</v>
      </c>
      <c r="E298" s="2">
        <f t="shared" si="9"/>
        <v>40087</v>
      </c>
      <c r="F298" s="3">
        <v>2966</v>
      </c>
      <c r="G298" s="1">
        <f t="shared" si="10"/>
        <v>2372.8000000000002</v>
      </c>
      <c r="H298" s="3">
        <f t="shared" si="11"/>
        <v>593.19999999999982</v>
      </c>
    </row>
    <row r="299" spans="1:8" x14ac:dyDescent="0.2">
      <c r="A299" s="2">
        <v>39974</v>
      </c>
      <c r="B299" s="2" t="s">
        <v>14</v>
      </c>
      <c r="C299" s="1" t="s">
        <v>20</v>
      </c>
      <c r="D299" s="1" t="s">
        <v>6</v>
      </c>
      <c r="E299" s="2">
        <f t="shared" si="9"/>
        <v>40087</v>
      </c>
      <c r="F299" s="3">
        <v>2997</v>
      </c>
      <c r="G299" s="1">
        <f t="shared" si="10"/>
        <v>2397.6</v>
      </c>
      <c r="H299" s="3">
        <f t="shared" si="11"/>
        <v>599.40000000000009</v>
      </c>
    </row>
    <row r="300" spans="1:8" x14ac:dyDescent="0.2">
      <c r="A300" s="2">
        <v>39983</v>
      </c>
      <c r="B300" s="2" t="s">
        <v>13</v>
      </c>
      <c r="C300" s="1" t="s">
        <v>15</v>
      </c>
      <c r="D300" s="1" t="s">
        <v>22</v>
      </c>
      <c r="E300" s="2">
        <f t="shared" si="9"/>
        <v>40087</v>
      </c>
      <c r="F300" s="3">
        <v>3028</v>
      </c>
      <c r="G300" s="1">
        <f t="shared" si="10"/>
        <v>2422.4</v>
      </c>
      <c r="H300" s="3">
        <f t="shared" si="11"/>
        <v>605.59999999999991</v>
      </c>
    </row>
    <row r="301" spans="1:8" x14ac:dyDescent="0.2">
      <c r="A301" s="2">
        <v>39992</v>
      </c>
      <c r="B301" s="2" t="s">
        <v>14</v>
      </c>
      <c r="C301" s="1" t="s">
        <v>17</v>
      </c>
      <c r="D301" s="1" t="s">
        <v>8</v>
      </c>
      <c r="E301" s="2">
        <f t="shared" si="9"/>
        <v>40087</v>
      </c>
      <c r="F301" s="3">
        <v>3059</v>
      </c>
      <c r="G301" s="1">
        <f t="shared" si="10"/>
        <v>2447.2000000000003</v>
      </c>
      <c r="H301" s="3">
        <f t="shared" si="11"/>
        <v>611.79999999999973</v>
      </c>
    </row>
    <row r="302" spans="1:8" x14ac:dyDescent="0.2">
      <c r="A302" s="2">
        <v>40001</v>
      </c>
      <c r="B302" s="2" t="s">
        <v>13</v>
      </c>
      <c r="C302" s="1" t="s">
        <v>4</v>
      </c>
      <c r="D302" s="1" t="s">
        <v>7</v>
      </c>
      <c r="E302" s="2">
        <f t="shared" si="9"/>
        <v>40118</v>
      </c>
      <c r="F302" s="3">
        <v>3090</v>
      </c>
      <c r="G302" s="1">
        <f t="shared" si="10"/>
        <v>2472</v>
      </c>
      <c r="H302" s="3">
        <f t="shared" si="11"/>
        <v>618</v>
      </c>
    </row>
    <row r="303" spans="1:8" x14ac:dyDescent="0.2">
      <c r="A303" s="2">
        <v>40010</v>
      </c>
      <c r="B303" s="2" t="s">
        <v>14</v>
      </c>
      <c r="C303" s="1" t="s">
        <v>18</v>
      </c>
      <c r="D303" s="1" t="s">
        <v>6</v>
      </c>
      <c r="E303" s="2">
        <f t="shared" si="9"/>
        <v>40118</v>
      </c>
      <c r="F303" s="3">
        <v>3121</v>
      </c>
      <c r="G303" s="1">
        <f t="shared" si="10"/>
        <v>2496.8000000000002</v>
      </c>
      <c r="H303" s="3">
        <f t="shared" si="11"/>
        <v>624.19999999999982</v>
      </c>
    </row>
    <row r="304" spans="1:8" x14ac:dyDescent="0.2">
      <c r="A304" s="2">
        <v>40019</v>
      </c>
      <c r="B304" s="2" t="s">
        <v>13</v>
      </c>
      <c r="C304" s="1" t="s">
        <v>11</v>
      </c>
      <c r="D304" s="1" t="s">
        <v>22</v>
      </c>
      <c r="E304" s="2">
        <f t="shared" si="9"/>
        <v>40118</v>
      </c>
      <c r="F304" s="3">
        <v>3152</v>
      </c>
      <c r="G304" s="1">
        <f t="shared" si="10"/>
        <v>2521.6000000000004</v>
      </c>
      <c r="H304" s="3">
        <f t="shared" si="11"/>
        <v>630.39999999999964</v>
      </c>
    </row>
    <row r="305" spans="1:8" x14ac:dyDescent="0.2">
      <c r="A305" s="2">
        <v>39749</v>
      </c>
      <c r="B305" s="2" t="s">
        <v>13</v>
      </c>
      <c r="C305" s="1" t="s">
        <v>4</v>
      </c>
      <c r="D305" s="1" t="s">
        <v>7</v>
      </c>
      <c r="E305" s="2">
        <f t="shared" si="9"/>
        <v>39845</v>
      </c>
      <c r="F305" s="3">
        <v>2193</v>
      </c>
      <c r="G305" s="1">
        <f t="shared" si="10"/>
        <v>1754.4</v>
      </c>
      <c r="H305" s="3">
        <f t="shared" si="11"/>
        <v>438.59999999999991</v>
      </c>
    </row>
    <row r="306" spans="1:8" x14ac:dyDescent="0.2">
      <c r="A306" s="2">
        <v>39758</v>
      </c>
      <c r="B306" s="2" t="s">
        <v>14</v>
      </c>
      <c r="C306" s="1" t="s">
        <v>20</v>
      </c>
      <c r="D306" s="1" t="s">
        <v>6</v>
      </c>
      <c r="E306" s="2">
        <f t="shared" ref="E306:E319" si="12">DATE(YEAR(A306),MONTH(A306)+4,1)</f>
        <v>39873</v>
      </c>
      <c r="F306" s="3">
        <v>2193</v>
      </c>
      <c r="G306" s="1">
        <f t="shared" si="10"/>
        <v>1754.4</v>
      </c>
      <c r="H306" s="3">
        <f t="shared" si="11"/>
        <v>438.59999999999991</v>
      </c>
    </row>
    <row r="307" spans="1:8" x14ac:dyDescent="0.2">
      <c r="A307" s="2">
        <v>39767</v>
      </c>
      <c r="B307" s="2" t="s">
        <v>13</v>
      </c>
      <c r="C307" s="1" t="s">
        <v>2</v>
      </c>
      <c r="D307" s="1" t="s">
        <v>22</v>
      </c>
      <c r="E307" s="2">
        <f t="shared" si="12"/>
        <v>39873</v>
      </c>
      <c r="F307" s="3">
        <v>2202</v>
      </c>
      <c r="G307" s="1">
        <f t="shared" si="10"/>
        <v>1761.6000000000001</v>
      </c>
      <c r="H307" s="3">
        <f t="shared" si="11"/>
        <v>440.39999999999986</v>
      </c>
    </row>
    <row r="308" spans="1:8" x14ac:dyDescent="0.2">
      <c r="A308" s="2">
        <v>39776</v>
      </c>
      <c r="B308" s="2" t="s">
        <v>14</v>
      </c>
      <c r="C308" s="1" t="s">
        <v>2</v>
      </c>
      <c r="D308" s="1" t="s">
        <v>8</v>
      </c>
      <c r="E308" s="2">
        <f t="shared" si="12"/>
        <v>39873</v>
      </c>
      <c r="F308" s="3">
        <v>2213</v>
      </c>
      <c r="G308" s="1">
        <f t="shared" si="10"/>
        <v>1770.4</v>
      </c>
      <c r="H308" s="3">
        <f t="shared" si="11"/>
        <v>442.59999999999991</v>
      </c>
    </row>
    <row r="309" spans="1:8" x14ac:dyDescent="0.2">
      <c r="A309" s="2">
        <v>39785</v>
      </c>
      <c r="B309" s="2" t="s">
        <v>13</v>
      </c>
      <c r="C309" s="1" t="s">
        <v>2</v>
      </c>
      <c r="D309" s="1" t="s">
        <v>7</v>
      </c>
      <c r="E309" s="2">
        <f t="shared" si="12"/>
        <v>39904</v>
      </c>
      <c r="F309" s="3">
        <v>2224</v>
      </c>
      <c r="G309" s="1">
        <f t="shared" si="10"/>
        <v>1779.2</v>
      </c>
      <c r="H309" s="3">
        <f t="shared" si="11"/>
        <v>444.79999999999995</v>
      </c>
    </row>
    <row r="310" spans="1:8" x14ac:dyDescent="0.2">
      <c r="A310" s="2">
        <v>39794</v>
      </c>
      <c r="B310" s="2" t="s">
        <v>14</v>
      </c>
      <c r="C310" s="1" t="s">
        <v>4</v>
      </c>
      <c r="D310" s="1" t="s">
        <v>6</v>
      </c>
      <c r="E310" s="2">
        <f t="shared" si="12"/>
        <v>39904</v>
      </c>
      <c r="F310" s="3">
        <v>2249</v>
      </c>
      <c r="G310" s="1">
        <f t="shared" ref="G310:G319" si="13">F310*0.8</f>
        <v>1799.2</v>
      </c>
      <c r="H310" s="3">
        <f t="shared" ref="H310:H319" si="14">F310-G310</f>
        <v>449.79999999999995</v>
      </c>
    </row>
    <row r="311" spans="1:8" x14ac:dyDescent="0.2">
      <c r="A311" s="2">
        <v>39803</v>
      </c>
      <c r="B311" s="2" t="s">
        <v>13</v>
      </c>
      <c r="C311" s="1" t="s">
        <v>20</v>
      </c>
      <c r="D311" s="1" t="s">
        <v>22</v>
      </c>
      <c r="E311" s="2">
        <f t="shared" si="12"/>
        <v>39904</v>
      </c>
      <c r="F311" s="3">
        <v>2250</v>
      </c>
      <c r="G311" s="1">
        <f t="shared" si="13"/>
        <v>1800</v>
      </c>
      <c r="H311" s="3">
        <f t="shared" si="14"/>
        <v>450</v>
      </c>
    </row>
    <row r="312" spans="1:8" x14ac:dyDescent="0.2">
      <c r="A312" s="2">
        <v>39583</v>
      </c>
      <c r="B312" s="6" t="s">
        <v>13</v>
      </c>
      <c r="C312" s="7" t="s">
        <v>11</v>
      </c>
      <c r="D312" s="1" t="s">
        <v>8</v>
      </c>
      <c r="E312" s="2">
        <f t="shared" si="12"/>
        <v>39692</v>
      </c>
      <c r="F312" s="3">
        <v>2251</v>
      </c>
      <c r="G312" s="1">
        <f t="shared" si="13"/>
        <v>1800.8000000000002</v>
      </c>
      <c r="H312" s="3">
        <f t="shared" si="14"/>
        <v>450.19999999999982</v>
      </c>
    </row>
    <row r="313" spans="1:8" x14ac:dyDescent="0.2">
      <c r="A313" s="2">
        <v>39586</v>
      </c>
      <c r="B313" s="6" t="s">
        <v>13</v>
      </c>
      <c r="C313" s="7" t="s">
        <v>21</v>
      </c>
      <c r="D313" s="1" t="s">
        <v>7</v>
      </c>
      <c r="E313" s="2">
        <f t="shared" si="12"/>
        <v>39692</v>
      </c>
      <c r="F313" s="3">
        <v>2252</v>
      </c>
      <c r="G313" s="1">
        <f t="shared" si="13"/>
        <v>1801.6000000000001</v>
      </c>
      <c r="H313" s="3">
        <f t="shared" si="14"/>
        <v>450.39999999999986</v>
      </c>
    </row>
    <row r="314" spans="1:8" x14ac:dyDescent="0.2">
      <c r="A314" s="2">
        <v>39589</v>
      </c>
      <c r="B314" s="6" t="s">
        <v>13</v>
      </c>
      <c r="C314" s="7" t="s">
        <v>11</v>
      </c>
      <c r="D314" s="1" t="s">
        <v>6</v>
      </c>
      <c r="E314" s="2">
        <f t="shared" si="12"/>
        <v>39692</v>
      </c>
      <c r="F314" s="3">
        <v>2253</v>
      </c>
      <c r="G314" s="1">
        <f t="shared" si="13"/>
        <v>1802.4</v>
      </c>
      <c r="H314" s="3">
        <f t="shared" si="14"/>
        <v>450.59999999999991</v>
      </c>
    </row>
    <row r="315" spans="1:8" x14ac:dyDescent="0.2">
      <c r="A315" s="2">
        <v>39592</v>
      </c>
      <c r="B315" s="6" t="s">
        <v>13</v>
      </c>
      <c r="C315" s="7" t="s">
        <v>21</v>
      </c>
      <c r="D315" s="1" t="s">
        <v>22</v>
      </c>
      <c r="E315" s="2">
        <f t="shared" si="12"/>
        <v>39692</v>
      </c>
      <c r="F315" s="3">
        <v>2254</v>
      </c>
      <c r="G315" s="1">
        <f t="shared" si="13"/>
        <v>1803.2</v>
      </c>
      <c r="H315" s="3">
        <f t="shared" si="14"/>
        <v>450.79999999999995</v>
      </c>
    </row>
    <row r="316" spans="1:8" x14ac:dyDescent="0.2">
      <c r="A316" s="2">
        <v>39595</v>
      </c>
      <c r="B316" s="6" t="s">
        <v>13</v>
      </c>
      <c r="C316" s="7" t="s">
        <v>11</v>
      </c>
      <c r="D316" s="1" t="s">
        <v>8</v>
      </c>
      <c r="E316" s="2">
        <f t="shared" si="12"/>
        <v>39692</v>
      </c>
      <c r="F316" s="3">
        <v>2255</v>
      </c>
      <c r="G316" s="1">
        <f t="shared" si="13"/>
        <v>1804</v>
      </c>
      <c r="H316" s="3">
        <f t="shared" si="14"/>
        <v>451</v>
      </c>
    </row>
    <row r="317" spans="1:8" x14ac:dyDescent="0.2">
      <c r="A317" s="2">
        <v>39598</v>
      </c>
      <c r="B317" s="6" t="s">
        <v>13</v>
      </c>
      <c r="C317" s="7" t="s">
        <v>21</v>
      </c>
      <c r="D317" s="1" t="s">
        <v>7</v>
      </c>
      <c r="E317" s="2">
        <f t="shared" si="12"/>
        <v>39692</v>
      </c>
      <c r="F317" s="3">
        <v>2256</v>
      </c>
      <c r="G317" s="1">
        <f t="shared" si="13"/>
        <v>1804.8000000000002</v>
      </c>
      <c r="H317" s="3">
        <f t="shared" si="14"/>
        <v>451.19999999999982</v>
      </c>
    </row>
    <row r="318" spans="1:8" x14ac:dyDescent="0.2">
      <c r="A318" s="2">
        <v>39601</v>
      </c>
      <c r="B318" s="6" t="s">
        <v>13</v>
      </c>
      <c r="C318" s="7" t="s">
        <v>11</v>
      </c>
      <c r="D318" s="1" t="s">
        <v>6</v>
      </c>
      <c r="E318" s="2">
        <f t="shared" si="12"/>
        <v>39722</v>
      </c>
      <c r="F318" s="3">
        <v>2257</v>
      </c>
      <c r="G318" s="1">
        <f t="shared" si="13"/>
        <v>1805.6000000000001</v>
      </c>
      <c r="H318" s="3">
        <f t="shared" si="14"/>
        <v>451.39999999999986</v>
      </c>
    </row>
    <row r="319" spans="1:8" x14ac:dyDescent="0.2">
      <c r="A319" s="2">
        <v>39604</v>
      </c>
      <c r="B319" s="6" t="s">
        <v>13</v>
      </c>
      <c r="C319" s="7" t="s">
        <v>21</v>
      </c>
      <c r="D319" s="1" t="s">
        <v>22</v>
      </c>
      <c r="E319" s="2">
        <f t="shared" si="12"/>
        <v>39722</v>
      </c>
      <c r="F319" s="3">
        <v>2258</v>
      </c>
      <c r="G319" s="1">
        <f t="shared" si="13"/>
        <v>1806.4</v>
      </c>
      <c r="H319" s="3">
        <f t="shared" si="14"/>
        <v>451.59999999999991</v>
      </c>
    </row>
  </sheetData>
  <phoneticPr fontId="1" type="noConversion"/>
  <pageMargins left="0.75" right="0.75" top="1" bottom="1" header="0.5" footer="0.5"/>
  <pageSetup paperSize="9" orientation="landscape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מכירות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Dekel Ezer</dc:creator>
  <cp:lastModifiedBy>אבי חסן</cp:lastModifiedBy>
  <dcterms:created xsi:type="dcterms:W3CDTF">2004-07-24T10:08:41Z</dcterms:created>
  <dcterms:modified xsi:type="dcterms:W3CDTF">2021-06-08T09:23:07Z</dcterms:modified>
</cp:coreProperties>
</file>